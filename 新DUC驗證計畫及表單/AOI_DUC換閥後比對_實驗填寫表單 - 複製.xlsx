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20.100\aoi\實驗記錄\新DUC驗證計畫及表單\"/>
    </mc:Choice>
  </mc:AlternateContent>
  <xr:revisionPtr revIDLastSave="0" documentId="13_ncr:1_{418BF1FC-BAB7-4030-9E70-3BCFD83D67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_實驗計畫" sheetId="1" r:id="rId1"/>
    <sheet name="B_選片" sheetId="3" r:id="rId2"/>
    <sheet name="C_清潔力紀錄" sheetId="4" r:id="rId3"/>
    <sheet name="D_判定總表" sheetId="5" r:id="rId4"/>
  </sheets>
  <calcPr calcId="191029"/>
</workbook>
</file>

<file path=xl/calcChain.xml><?xml version="1.0" encoding="utf-8"?>
<calcChain xmlns="http://schemas.openxmlformats.org/spreadsheetml/2006/main">
  <c r="D20" i="4" l="1"/>
  <c r="D19" i="4"/>
  <c r="D17" i="4"/>
  <c r="D16" i="4"/>
  <c r="D14" i="4"/>
  <c r="D13" i="4"/>
  <c r="D11" i="4"/>
  <c r="D10" i="4"/>
  <c r="D8" i="4"/>
  <c r="D7" i="4"/>
  <c r="D5" i="4"/>
  <c r="D4" i="4"/>
  <c r="G20" i="4"/>
  <c r="H20" i="4"/>
  <c r="G19" i="4"/>
  <c r="H19" i="4"/>
  <c r="G17" i="4"/>
  <c r="H17" i="4"/>
  <c r="G16" i="4"/>
  <c r="H16" i="4"/>
  <c r="G14" i="4"/>
  <c r="H14" i="4"/>
  <c r="G13" i="4"/>
  <c r="H13" i="4"/>
  <c r="G11" i="4"/>
  <c r="H11" i="4"/>
  <c r="G10" i="4"/>
  <c r="H10" i="4"/>
  <c r="G8" i="4"/>
  <c r="H8" i="4"/>
  <c r="G7" i="4"/>
  <c r="H7" i="4"/>
  <c r="G5" i="4"/>
  <c r="H5" i="4"/>
  <c r="G4" i="4"/>
  <c r="H4" i="4"/>
  <c r="H5" i="3"/>
  <c r="H6" i="3"/>
  <c r="H7" i="3"/>
  <c r="I7" i="3"/>
  <c r="J7" i="3"/>
  <c r="H8" i="3"/>
  <c r="H9" i="3"/>
  <c r="H10" i="3"/>
  <c r="I10" i="3" s="1"/>
  <c r="J10" i="3"/>
  <c r="H11" i="3"/>
  <c r="H12" i="3"/>
  <c r="H13" i="3"/>
  <c r="I13" i="3" s="1"/>
  <c r="J13" i="3"/>
  <c r="H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 s="1"/>
  <c r="J23" i="3"/>
  <c r="H24" i="3"/>
  <c r="H25" i="3"/>
  <c r="I25" i="3" s="1"/>
  <c r="J25" i="3"/>
  <c r="H26" i="3"/>
  <c r="H27" i="3"/>
  <c r="H28" i="3"/>
  <c r="I28" i="3"/>
  <c r="J28" i="3"/>
  <c r="H29" i="3"/>
  <c r="H30" i="3"/>
  <c r="H31" i="3"/>
  <c r="I31" i="3"/>
  <c r="J31" i="3"/>
  <c r="H32" i="3"/>
  <c r="I32" i="3"/>
  <c r="J32" i="3"/>
  <c r="H33" i="3"/>
  <c r="I33" i="3"/>
  <c r="J33" i="3"/>
  <c r="H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G4" i="3"/>
  <c r="F4" i="3"/>
  <c r="F20" i="4"/>
  <c r="M20" i="4" s="1"/>
  <c r="F19" i="4"/>
  <c r="M19" i="4" s="1"/>
  <c r="F17" i="4"/>
  <c r="M17" i="4" s="1"/>
  <c r="F16" i="4"/>
  <c r="M16" i="4" s="1"/>
  <c r="F14" i="4"/>
  <c r="M14" i="4" s="1"/>
  <c r="F13" i="4"/>
  <c r="M13" i="4" s="1"/>
  <c r="F11" i="4"/>
  <c r="M11" i="4" s="1"/>
  <c r="F10" i="4"/>
  <c r="M10" i="4" s="1"/>
  <c r="F8" i="4"/>
  <c r="M8" i="4" s="1"/>
  <c r="F7" i="4"/>
  <c r="M7" i="4" s="1"/>
  <c r="F5" i="4"/>
  <c r="M5" i="4" s="1"/>
  <c r="F4" i="4"/>
  <c r="O20" i="4" l="1"/>
  <c r="P20" i="4"/>
  <c r="N20" i="4"/>
  <c r="P19" i="4"/>
  <c r="O19" i="4"/>
  <c r="N19" i="4"/>
  <c r="N17" i="4"/>
  <c r="O17" i="4"/>
  <c r="P17" i="4"/>
  <c r="P16" i="4"/>
  <c r="N16" i="4"/>
  <c r="O16" i="4"/>
  <c r="N14" i="4"/>
  <c r="O14" i="4"/>
  <c r="P14" i="4"/>
  <c r="N13" i="4"/>
  <c r="O13" i="4"/>
  <c r="P13" i="4"/>
  <c r="P11" i="4"/>
  <c r="N11" i="4"/>
  <c r="O11" i="4"/>
  <c r="N10" i="4"/>
  <c r="O10" i="4"/>
  <c r="P10" i="4"/>
  <c r="N8" i="4"/>
  <c r="O8" i="4"/>
  <c r="P8" i="4"/>
  <c r="N7" i="4"/>
  <c r="O7" i="4"/>
  <c r="P7" i="4"/>
  <c r="H23" i="4" s="1"/>
  <c r="N5" i="4"/>
  <c r="O5" i="4"/>
  <c r="P5" i="4"/>
  <c r="H24" i="4" s="1"/>
  <c r="O4" i="4"/>
  <c r="P4" i="4"/>
  <c r="N4" i="4"/>
  <c r="M4" i="4"/>
  <c r="I6" i="3"/>
  <c r="J6" i="3"/>
  <c r="J4" i="3"/>
  <c r="I4" i="3"/>
  <c r="I5" i="3"/>
  <c r="J5" i="3"/>
  <c r="J8" i="3"/>
  <c r="I8" i="3"/>
  <c r="I9" i="3"/>
  <c r="J9" i="3"/>
  <c r="I11" i="3"/>
  <c r="J11" i="3"/>
  <c r="I12" i="3"/>
  <c r="J12" i="3"/>
  <c r="J14" i="3"/>
  <c r="I14" i="3"/>
  <c r="I24" i="3"/>
  <c r="J24" i="3"/>
  <c r="J26" i="3"/>
  <c r="I26" i="3"/>
  <c r="I27" i="3"/>
  <c r="J27" i="3"/>
  <c r="I29" i="3"/>
  <c r="J29" i="3"/>
  <c r="I30" i="3"/>
  <c r="J30" i="3"/>
  <c r="H22" i="4" l="1"/>
  <c r="D3" i="5" s="1"/>
  <c r="F3" i="5" s="1"/>
  <c r="R20" i="4"/>
  <c r="Q20" i="4"/>
  <c r="R10" i="4"/>
  <c r="Q10" i="4"/>
  <c r="R19" i="4"/>
  <c r="Q19" i="4"/>
  <c r="R17" i="4"/>
  <c r="Q17" i="4"/>
  <c r="R16" i="4"/>
  <c r="Q16" i="4"/>
  <c r="R14" i="4"/>
  <c r="Q14" i="4"/>
  <c r="R13" i="4"/>
  <c r="Q13" i="4"/>
  <c r="R11" i="4"/>
  <c r="Q11" i="4"/>
  <c r="R5" i="4"/>
  <c r="Q5" i="4"/>
  <c r="H26" i="4" s="1"/>
  <c r="D5" i="5" s="1"/>
  <c r="F5" i="5" s="1"/>
  <c r="R4" i="4"/>
  <c r="Q4" i="4"/>
  <c r="Q8" i="4"/>
  <c r="R8" i="4"/>
  <c r="Q7" i="4"/>
  <c r="R7" i="4"/>
  <c r="D6" i="5"/>
  <c r="F6" i="5" s="1"/>
  <c r="H27" i="4" l="1"/>
  <c r="H28" i="4"/>
  <c r="H25" i="4"/>
  <c r="D4" i="5" s="1"/>
  <c r="F4" i="5" s="1"/>
  <c r="B8" i="5" s="1"/>
</calcChain>
</file>

<file path=xl/sharedStrings.xml><?xml version="1.0" encoding="utf-8"?>
<sst xmlns="http://schemas.openxmlformats.org/spreadsheetml/2006/main" count="140" uniqueCount="118">
  <si>
    <t>AOI-1 更換 DUC 電磁閥後 — 兩台 DUC 比對實驗計畫</t>
  </si>
  <si>
    <t>背景：廠商與 RD 交叉確認 AOI-1 控制 DUC 氣量的電磁閥與 AOI-2 不同（AOI-1 流量較小），已請購同規格電磁閥。本計畫用於換閥後驗證兩台是否一致，作為驗收第22項「機台差異性」之判定依據。</t>
  </si>
  <si>
    <t>一、換閥前的證據（為何懷疑 DUC）</t>
  </si>
  <si>
    <t>資料</t>
  </si>
  <si>
    <t>觀察</t>
  </si>
  <si>
    <t>代表意義</t>
  </si>
  <si>
    <t>實驗5 交叉清潔</t>
  </si>
  <si>
    <t>771A7：AOI-1 先吹飽和 86 → AOI-2 再吹降到 77（再少 10%）
880F0：AOI-2 先吹飽和 176 → AOI-1 再吹 174（只少 1%）</t>
  </si>
  <si>
    <t>AOI-2 吹得掉 AOI-1 留下的顆粒，反之不行 → AOI-1 DUC 較弱</t>
  </si>
  <si>
    <t>實驗4（25片）</t>
  </si>
  <si>
    <t>AOI-1 系統性比 AOI-2 高 8.7%（8/20）/ 14.2%（8/21）
低粒子片差 +10~27%、高粒子片僅 +3~7%</t>
  </si>
  <si>
    <t>像「每次多留一些未吹掉的微塵」，低粒子片最明顯</t>
  </si>
  <si>
    <t>廠商確認</t>
  </si>
  <si>
    <t>AOI-1 電磁閥規格不同、流量較小</t>
  </si>
  <si>
    <t>與上述數據方向一致</t>
  </si>
  <si>
    <t>部分</t>
  </si>
  <si>
    <t>要回答的問題</t>
  </si>
  <si>
    <t>用哪些片</t>
  </si>
  <si>
    <t>做法摘要</t>
  </si>
  <si>
    <t>約需時間</t>
  </si>
  <si>
    <t>兩台 DUC 吹掉顆粒的能力是否一致</t>
  </si>
  <si>
    <t>「新片」12 片（從未上過 AOI）
低/中/高粒子各 4 片</t>
  </si>
  <si>
    <t>先 DUC 關量（偵測比對）→ 再 DUC 開交叉清潔（6 片 AOI-1 先吹、6 片 AOI-2 先吹）</t>
  </si>
  <si>
    <t>約 1 天</t>
  </si>
  <si>
    <t>步驟0 選片</t>
  </si>
  <si>
    <t>步驟0 分組</t>
  </si>
  <si>
    <t>步驟1 DUC關</t>
  </si>
  <si>
    <t>步驟2 DUC開</t>
  </si>
  <si>
    <t>判讀邏輯</t>
  </si>
  <si>
    <t>四、判定基準（建議值，可與廠商協議調整）</t>
  </si>
  <si>
    <t>代號</t>
  </si>
  <si>
    <t>指標</t>
  </si>
  <si>
    <t>換閥前</t>
  </si>
  <si>
    <t>合格基準</t>
  </si>
  <si>
    <t>|差| ≤ 5%</t>
  </si>
  <si>
    <t>B1</t>
  </si>
  <si>
    <t>DUC 關時兩台偵測差（12片平均）</t>
  </si>
  <si>
    <t>−4.7% / +4.7%（2片）</t>
  </si>
  <si>
    <t>B2</t>
  </si>
  <si>
    <t>首道清潔去除率差（AOI-1 vs AOI-2）</t>
  </si>
  <si>
    <t>約 26% vs 41%（不同片）</t>
  </si>
  <si>
    <t>差 ≤ 5 個百分點</t>
  </si>
  <si>
    <t>B3</t>
  </si>
  <si>
    <t>交叉殘留去除率（後吹機台再吹掉的比例）</t>
  </si>
  <si>
    <t>AOI-2 後吹 10%；AOI-1 後吹 1%</t>
  </si>
  <si>
    <t>兩方向皆 ≤ 5%</t>
  </si>
  <si>
    <t>五、執行注意事項</t>
  </si>
  <si>
    <t>● 實驗前請廠商提供兩台 DUC 實測氣量／壓力值與電磁閥料號（換閥後），並確認兩台 DUC 軟體參數（吹氣時間、壓力設定）相同——這是最直接的工程證據。</t>
  </si>
  <si>
    <t>● 每次開工先用 2~3 片陪測片各跑一次暖機，不計入數據（避開穩定性實驗中的首日／首讀效應）。</t>
  </si>
  <si>
    <t>● 原始資料請依現行方式存放（機台 OutputList.csv），紀錄表只需填缺陷總數，分析由工程部完成。</t>
  </si>
  <si>
    <t>No</t>
  </si>
  <si>
    <t>刻號</t>
  </si>
  <si>
    <t>分級</t>
  </si>
  <si>
    <t>組別</t>
  </si>
  <si>
    <t>備註</t>
  </si>
  <si>
    <t>「—」＝落在級距之間，不選用。若某級湊不到 4 片，可放寬級距或改用 3 片，並於備註註明。</t>
  </si>
  <si>
    <t>DUC關
AOI-2①</t>
  </si>
  <si>
    <t>DUC關
AOI-1①</t>
  </si>
  <si>
    <t>DUC關
AOI-1②</t>
  </si>
  <si>
    <t>DUC關
AOI-2②</t>
  </si>
  <si>
    <t>G1</t>
  </si>
  <si>
    <t>G2</t>
  </si>
  <si>
    <t>彙總（自動計算）</t>
  </si>
  <si>
    <t>B1 偵測差（12片平均）</t>
  </si>
  <si>
    <t>B2 首道去除率 — AOI-1 先吹（G1）</t>
  </si>
  <si>
    <t>B2 首道去除率 — AOI-2 先吹（G2）</t>
  </si>
  <si>
    <t>B3 殘留去除率 — AOI-2 後吹（G1）</t>
  </si>
  <si>
    <t>B3 殘留去除率 — AOI-1 後吹（G2）</t>
  </si>
  <si>
    <t>換閥後 DUC 比對 — 判定總表（自動帶入）</t>
  </si>
  <si>
    <t>換閥後結果</t>
  </si>
  <si>
    <t>判定</t>
  </si>
  <si>
    <t>DUC 關偵測差</t>
  </si>
  <si>
    <t>殘留去除率 — AOI-2 後吹</t>
  </si>
  <si>
    <t>≤ 5%</t>
  </si>
  <si>
    <t>殘留去除率 — AOI-1 後吹</t>
  </si>
  <si>
    <t>首道去除率差（AOI-1 − AOI-2）</t>
  </si>
  <si>
    <t>≤ 5 個百分點</t>
  </si>
  <si>
    <t>二、實驗架構</t>
    <phoneticPr fontId="8" type="noConversion"/>
  </si>
  <si>
    <t>DUC 清潔力比對</t>
    <phoneticPr fontId="8" type="noConversion"/>
  </si>
  <si>
    <t>★ 為什麼 一定要用「新片」：已被 DUC 吹過多次、鬆散微塵早已吹光（重複量測只差 1%），再吹也看不出清潔力差異；必須用從未上過 AOI 的片子，才有可被吹掉的顆粒。</t>
    <phoneticPr fontId="8" type="noConversion"/>
  </si>
  <si>
    <t>三、實驗流程（DUC 清潔力交叉比對）</t>
    <phoneticPr fontId="8" type="noConversion"/>
  </si>
  <si>
    <t>全部合格 → 建議第22項「機台差異性」改判合格；B3 不合格 → 代表清潔力仍不一致，需請廠商再調氣量。</t>
    <phoneticPr fontId="8" type="noConversion"/>
  </si>
  <si>
    <t>DUC關 篩選值
AOI-1</t>
    <phoneticPr fontId="8" type="noConversion"/>
  </si>
  <si>
    <t>DUC關 篩選值
AOI-2</t>
    <phoneticPr fontId="8" type="noConversion"/>
  </si>
  <si>
    <t>分級
AOI-1</t>
    <phoneticPr fontId="8" type="noConversion"/>
  </si>
  <si>
    <t>分級
AOI-2</t>
    <phoneticPr fontId="8" type="noConversion"/>
  </si>
  <si>
    <t>平均值
(AOI-1,2)</t>
  </si>
  <si>
    <t>兩邊差異
%</t>
  </si>
  <si>
    <t>綜合分級</t>
  </si>
  <si>
    <t>差異警示門檻</t>
  </si>
  <si>
    <t>差異%＝|AOI-1−AOI-2| ÷ 平均值；達門檻（≥）時該列 D~J 標紅。可改 O3。</t>
  </si>
  <si>
    <t>每級 4 片依平均值排序，第1、4片→G1（AOI-1 先吹），第2、3片→G2（AOI-2 先吹），使兩組粒子數相當。填入「B_選片」分頁。</t>
  </si>
  <si>
    <t>新片（從未上過 AOI）以 DUC 關在 AOI-2、AOI-1 各量 1 次，分別填 D、E 欄。依兩台平均值判定綜合分級：低 50~150、中 250~600、高 ≥800；兩台差異 ≥10% 時該列標紅，照常記錄、不重量。每級選 4 片，依平均值排序後 第1、4片→G1（AOI-1 先吹），第2、3片→G2（AOI-2 先吹）。</t>
  </si>
  <si>
    <t>取一盒（約 25~30 片）從未上過 AOI 的新片，以「DUC 關」在 AOI-2、AOI-1 各量 1 次，依兩台平均值分級（綜合分級）：低 50~150、中 250~600、高 ≥800，每級挑 4 片共 12 片。兩台差異 ≥10% 時自動標紅，照常記錄不重量，由品管課及工程部判定。此次 AOI-2、AOI-1 量測值直接作為步驟1 的 AOI-2①、AOI-1① 紀錄。</t>
  </si>
  <si>
    <t>兩台都關 DUC，12 片依 AOI-2① → AOI-1① → AOI-1② → AOI-2② 順序（共 4 趟）；①兩趟沿用步驟0 選片量測值（自動帶入），只需再量 AOI-1② → AOI-2②。目的：比偵測差、建立每片「未清潔」基準。</t>
  </si>
  <si>
    <t>◤ 目的：確認換閥後兩台 DUC「清潔力」是否一致。</t>
  </si>
  <si>
    <t>● 全程使用同一個量測配方（TEST）、同一位人員，盡量同一天完成同一步驟；記錄每筆「耗時」以便抓異常（例：先前出現過 728 秒的異常掃描）。</t>
  </si>
  <si>
    <t>● 新片「一旦開 DUC 吹過就不能再當新片」：步驟1（DUC 關）務必在步驟2 之前完成，順序不可顛倒。</t>
  </si>
  <si>
    <t>● 若電磁閥尚未安裝，強烈建議先用另一批新片（可精簡為 6 片）跑一次本實驗作「換閥前基準」，換閥後再跑一次，前後比較最有說服力。</t>
  </si>
  <si>
    <t>步驟0：新片篩選與分組</t>
  </si>
  <si>
    <t>步驟1~2：DUC 清潔力交叉比對紀錄</t>
  </si>
  <si>
    <t>G1</t>
    <phoneticPr fontId="8" type="noConversion"/>
  </si>
  <si>
    <t>NX65120(範例，請刪掉)</t>
    <phoneticPr fontId="8" type="noConversion"/>
  </si>
  <si>
    <t>第2趟
機台</t>
    <phoneticPr fontId="8" type="noConversion"/>
  </si>
  <si>
    <t>第2趟
校正值</t>
    <phoneticPr fontId="8" type="noConversion"/>
  </si>
  <si>
    <t>偵測差%
(1−2)/2</t>
    <phoneticPr fontId="8" type="noConversion"/>
  </si>
  <si>
    <t>首道
去除率</t>
    <phoneticPr fontId="8" type="noConversion"/>
  </si>
  <si>
    <t>交叉殘留
去除率</t>
    <phoneticPr fontId="8" type="noConversion"/>
  </si>
  <si>
    <t>回吹
去除率</t>
    <phoneticPr fontId="8" type="noConversion"/>
  </si>
  <si>
    <t>回吹去除率 — AOI-1 回吹（G1）</t>
  </si>
  <si>
    <t>回吹去除率 — AOI-2 回吹（G2）</t>
  </si>
  <si>
    <t>換閥前參考（實驗5，2片，舊做法每台連吹 3 趟，與本做法不可直接比較）：首道去除率 AOI-1 約 26%（771A7）、AOI-2 約 41%（880F0）；殘留去除率 AOI-2 後吹 10.2%、AOI-1 後吹 1.1%。第2趟在另一台量測，已依該片 DUC 關時兩台讀值比換算成先吹機台尺度（第2趟校正值）再計算交叉殘留、回吹去除率。</t>
  </si>
  <si>
    <t>步驟1（兩台 DUC 關）只需填刻號；分級（綜合分級）及 AOI-2①、AOI-1① 由「B_選片」依刻號自動帶入（綠字，免填）；現場只需再量 AOI-1② → AOI-2②。步驟2（兩台 DUC 開）每片各吹 1 次共 3 趟：G1 AOI-1 → AOI-2 → AOI-1；G2 AOI-2 → AOI-1 → AOI-2，依序填第1、2、3趟。黃底填缺陷總數，右側自動計算。</t>
  </si>
  <si>
    <t>兩台都開 DUC，每片各吹 1 次共 3 趟：G1 AOI-1 → AOI-2 → AOI-1；G2 AOI-2 → AOI-1 → AOI-2。兩組可同時在兩台跑再對調。</t>
  </si>
  <si>
    <t>第1趟＝先吹機台首道清潔效果；第2趟換另一台，若明顯再變少＝另一台吹得掉先吹機台留下的顆粒（交叉殘留去除率）；第3趟回先吹機台，看是否還能再吹掉（回吹去除率）。第2趟為另一台讀值，計算前依該片 DUC 關時兩台讀值比換算成先吹機台尺度，以排除兩台偵測差。</t>
  </si>
  <si>
    <t xml:space="preserve">DUC開
第1趟
</t>
    <phoneticPr fontId="8" type="noConversion"/>
  </si>
  <si>
    <t xml:space="preserve">DUC開
第2趟
</t>
    <phoneticPr fontId="8" type="noConversion"/>
  </si>
  <si>
    <t>第1趟
機台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</si>
</sst>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+0.0%;\-0.0%"/>
    <numFmt numFmtId="177" formatCode="0.0%"/>
    <numFmt numFmtId="178" formatCode="0.0"/>
  </numFmts>
  <fonts count="13">
    <font>
      <sz val="11"/>
      <color theme="1"/>
      <name val="新細明體"/>
      <family val="2"/>
      <scheme val="minor"/>
    </font>
    <font>
      <sz val="15"/>
      <color rgb="FFFFFFFF"/>
      <name val="Microsoft JhengHei"/>
      <family val="2"/>
      <charset val="136"/>
    </font>
    <font>
      <sz val="9"/>
      <color rgb="FF595959"/>
      <name val="Microsoft JhengHei"/>
      <family val="2"/>
      <charset val="136"/>
    </font>
    <font>
      <b/>
      <sz val="12"/>
      <color rgb="FF1F3864"/>
      <name val="Microsoft JhengHei"/>
      <family val="2"/>
      <charset val="136"/>
    </font>
    <font>
      <sz val="11"/>
      <color rgb="FFFFFFFF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0"/>
      <color theme="1"/>
      <name val="Microsoft JhengHei"/>
      <family val="2"/>
      <charset val="136"/>
    </font>
    <font>
      <sz val="10"/>
      <color rgb="FF0000FF"/>
      <name val="Microsoft JhengHei"/>
      <family val="2"/>
      <charset val="136"/>
    </font>
    <font>
      <sz val="10"/>
      <color rgb="FF008000"/>
      <name val="Microsoft JhengHei"/>
      <family val="2"/>
      <charset val="136"/>
    </font>
    <font>
      <sz val="10"/>
      <color rgb="FF006000"/>
      <name val="Microsoft JhengHe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2E5B9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CCC0DA"/>
        <bgColor indexed="64"/>
      </patternFill>
    </fill>
  </fills>
  <borders count="3">
    <border>
      <left/>
      <right/>
      <top/>
      <bottom/>
      <diagonal/>
    </border>
    <border>
      <left style="thin">
        <color rgb="FF9BA6B5"/>
      </left>
      <right style="thin">
        <color rgb="FF9BA6B5"/>
      </right>
      <top style="thin">
        <color rgb="FF9BA6B5"/>
      </top>
      <bottom style="thin">
        <color rgb="FF9BA6B5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9" fillId="0" borderId="2" xfId="0" applyFont="1" applyBorder="1"/>
    <xf numFmtId="9" fontId="10" fillId="8" borderId="2" xfId="0" applyNumberFormat="1" applyFont="1" applyFill="1" applyBorder="1"/>
    <xf numFmtId="1" fontId="7" fillId="0" borderId="1" xfId="0" applyNumberFormat="1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7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 wrapText="1"/>
    </xf>
    <xf numFmtId="177" fontId="7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78" fontId="7" fillId="8" borderId="1" xfId="0" applyNumberFormat="1" applyFont="1" applyFill="1" applyBorder="1" applyAlignment="1">
      <alignment horizontal="center" vertical="center" wrapText="1"/>
    </xf>
    <xf numFmtId="178" fontId="7" fillId="9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77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一般" xfId="0" builtinId="0"/>
  </cellStyles>
  <dxfs count="1">
    <dxf>
      <font>
        <b/>
        <i val="0"/>
        <color rgb="FFC00000"/>
      </font>
      <fill>
        <patternFill patternType="solid">
          <fgColor indexed="64"/>
          <bgColor rgb="FFF8CBAD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4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C8A462-1C25-4977-B27D-E9B162DF46A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cfc5ed-bd2f-4b61-b3d8-af9523a448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B27" sqref="B27:F27"/>
    </sheetView>
  </sheetViews>
  <sheetFormatPr defaultRowHeight="15.75"/>
  <cols>
    <col min="1" max="1" width="2.5703125" customWidth="1"/>
    <col min="2" max="2" width="18" customWidth="1"/>
    <col min="3" max="6" width="22" customWidth="1"/>
  </cols>
  <sheetData>
    <row r="1" spans="1:6" ht="27.95" customHeight="1">
      <c r="A1" s="34" t="s">
        <v>0</v>
      </c>
      <c r="B1" s="31"/>
      <c r="C1" s="31"/>
      <c r="D1" s="31"/>
      <c r="E1" s="31"/>
      <c r="F1" s="31"/>
    </row>
    <row r="2" spans="1:6" ht="30" customHeight="1">
      <c r="A2" s="32" t="s">
        <v>1</v>
      </c>
      <c r="B2" s="31"/>
      <c r="C2" s="31"/>
      <c r="D2" s="31"/>
      <c r="E2" s="31"/>
      <c r="F2" s="31"/>
    </row>
    <row r="3" spans="1:6" ht="39.950000000000003" customHeight="1">
      <c r="A3" s="42" t="s">
        <v>95</v>
      </c>
      <c r="B3" s="31"/>
      <c r="C3" s="31"/>
      <c r="D3" s="31"/>
      <c r="E3" s="31"/>
      <c r="F3" s="31"/>
    </row>
    <row r="4" spans="1:6" ht="20.100000000000001" customHeight="1">
      <c r="A4" s="30" t="s">
        <v>2</v>
      </c>
      <c r="B4" s="31"/>
      <c r="C4" s="31"/>
      <c r="D4" s="31"/>
      <c r="E4" s="31"/>
      <c r="F4" s="31"/>
    </row>
    <row r="5" spans="1:6">
      <c r="B5" s="1" t="s">
        <v>3</v>
      </c>
      <c r="C5" s="1" t="s">
        <v>4</v>
      </c>
      <c r="D5" s="1" t="s">
        <v>5</v>
      </c>
      <c r="E5" s="41"/>
      <c r="F5" s="31"/>
    </row>
    <row r="6" spans="1:6" ht="39.950000000000003" customHeight="1">
      <c r="B6" s="2" t="s">
        <v>6</v>
      </c>
      <c r="C6" s="3" t="s">
        <v>7</v>
      </c>
      <c r="D6" s="39" t="s">
        <v>8</v>
      </c>
      <c r="E6" s="31"/>
      <c r="F6" s="31"/>
    </row>
    <row r="7" spans="1:6" ht="39.950000000000003" customHeight="1">
      <c r="B7" s="2" t="s">
        <v>9</v>
      </c>
      <c r="C7" s="3" t="s">
        <v>10</v>
      </c>
      <c r="D7" s="39" t="s">
        <v>11</v>
      </c>
      <c r="E7" s="31"/>
      <c r="F7" s="31"/>
    </row>
    <row r="8" spans="1:6" ht="39.950000000000003" customHeight="1">
      <c r="B8" s="2" t="s">
        <v>12</v>
      </c>
      <c r="C8" s="3" t="s">
        <v>13</v>
      </c>
      <c r="D8" s="39" t="s">
        <v>14</v>
      </c>
      <c r="E8" s="31"/>
      <c r="F8" s="31"/>
    </row>
    <row r="9" spans="1:6" ht="20.100000000000001" customHeight="1">
      <c r="A9" s="30" t="s">
        <v>77</v>
      </c>
      <c r="B9" s="31"/>
      <c r="C9" s="31"/>
      <c r="D9" s="31"/>
      <c r="E9" s="31"/>
      <c r="F9" s="31"/>
    </row>
    <row r="10" spans="1:6"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</row>
    <row r="11" spans="1:6" ht="48" customHeight="1">
      <c r="B11" s="4" t="s">
        <v>78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6" ht="33.950000000000003" customHeight="1">
      <c r="B12" s="40" t="s">
        <v>79</v>
      </c>
      <c r="C12" s="31"/>
      <c r="D12" s="31"/>
      <c r="E12" s="31"/>
      <c r="F12" s="31"/>
    </row>
    <row r="13" spans="1:6" ht="20.100000000000001" customHeight="1">
      <c r="A13" s="30" t="s">
        <v>80</v>
      </c>
      <c r="B13" s="31"/>
      <c r="C13" s="31"/>
      <c r="D13" s="31"/>
      <c r="E13" s="31"/>
      <c r="F13" s="31"/>
    </row>
    <row r="14" spans="1:6" ht="36" customHeight="1">
      <c r="B14" s="2" t="s">
        <v>24</v>
      </c>
      <c r="C14" s="39" t="s">
        <v>93</v>
      </c>
      <c r="D14" s="31"/>
      <c r="E14" s="31"/>
      <c r="F14" s="31"/>
    </row>
    <row r="15" spans="1:6" ht="36" customHeight="1">
      <c r="B15" s="2" t="s">
        <v>25</v>
      </c>
      <c r="C15" s="39" t="s">
        <v>91</v>
      </c>
      <c r="D15" s="31"/>
      <c r="E15" s="31"/>
      <c r="F15" s="31"/>
    </row>
    <row r="16" spans="1:6" ht="36" customHeight="1">
      <c r="B16" s="2" t="s">
        <v>26</v>
      </c>
      <c r="C16" s="39" t="s">
        <v>94</v>
      </c>
      <c r="D16" s="31"/>
      <c r="E16" s="31"/>
      <c r="F16" s="31"/>
    </row>
    <row r="17" spans="1:6" ht="36" customHeight="1">
      <c r="B17" s="2" t="s">
        <v>27</v>
      </c>
      <c r="C17" s="39" t="s">
        <v>113</v>
      </c>
      <c r="D17" s="31"/>
      <c r="E17" s="31"/>
      <c r="F17" s="31"/>
    </row>
    <row r="18" spans="1:6" ht="36" customHeight="1">
      <c r="B18" s="2" t="s">
        <v>28</v>
      </c>
      <c r="C18" s="39" t="s">
        <v>114</v>
      </c>
      <c r="D18" s="31"/>
      <c r="E18" s="31"/>
      <c r="F18" s="31"/>
    </row>
    <row r="19" spans="1:6" ht="20.100000000000001" customHeight="1">
      <c r="A19" s="30" t="s">
        <v>29</v>
      </c>
      <c r="B19" s="31"/>
      <c r="C19" s="31"/>
      <c r="D19" s="31"/>
      <c r="E19" s="31"/>
      <c r="F19" s="31"/>
    </row>
    <row r="20" spans="1:6">
      <c r="B20" s="1" t="s">
        <v>30</v>
      </c>
      <c r="C20" s="1" t="s">
        <v>31</v>
      </c>
      <c r="D20" s="1" t="s">
        <v>32</v>
      </c>
      <c r="E20" s="1" t="s">
        <v>33</v>
      </c>
      <c r="F20" s="41"/>
    </row>
    <row r="21" spans="1:6" ht="27">
      <c r="B21" s="2" t="s">
        <v>35</v>
      </c>
      <c r="C21" s="3" t="s">
        <v>36</v>
      </c>
      <c r="D21" s="5" t="s">
        <v>37</v>
      </c>
      <c r="E21" s="6" t="s">
        <v>34</v>
      </c>
    </row>
    <row r="22" spans="1:6" ht="27">
      <c r="B22" s="2" t="s">
        <v>38</v>
      </c>
      <c r="C22" s="3" t="s">
        <v>39</v>
      </c>
      <c r="D22" s="5" t="s">
        <v>40</v>
      </c>
      <c r="E22" s="6" t="s">
        <v>41</v>
      </c>
    </row>
    <row r="23" spans="1:6" ht="27">
      <c r="B23" s="2" t="s">
        <v>42</v>
      </c>
      <c r="C23" s="3" t="s">
        <v>43</v>
      </c>
      <c r="D23" s="5" t="s">
        <v>44</v>
      </c>
      <c r="E23" s="6" t="s">
        <v>45</v>
      </c>
    </row>
    <row r="24" spans="1:6" ht="21.95" customHeight="1">
      <c r="B24" s="40" t="s">
        <v>81</v>
      </c>
      <c r="C24" s="31"/>
      <c r="D24" s="31"/>
      <c r="E24" s="31"/>
      <c r="F24" s="31"/>
    </row>
    <row r="25" spans="1:6" ht="20.100000000000001" customHeight="1">
      <c r="A25" s="30" t="s">
        <v>46</v>
      </c>
      <c r="B25" s="31"/>
      <c r="C25" s="31"/>
      <c r="D25" s="31"/>
      <c r="E25" s="31"/>
      <c r="F25" s="31"/>
    </row>
    <row r="26" spans="1:6" ht="32.1" customHeight="1">
      <c r="B26" s="38" t="s">
        <v>47</v>
      </c>
      <c r="C26" s="31"/>
      <c r="D26" s="31"/>
      <c r="E26" s="31"/>
      <c r="F26" s="31"/>
    </row>
    <row r="27" spans="1:6" ht="32.1" customHeight="1">
      <c r="B27" s="38" t="s">
        <v>48</v>
      </c>
      <c r="C27" s="31"/>
      <c r="D27" s="31"/>
      <c r="E27" s="31"/>
      <c r="F27" s="31"/>
    </row>
    <row r="28" spans="1:6" ht="32.1" customHeight="1">
      <c r="B28" s="38" t="s">
        <v>96</v>
      </c>
      <c r="C28" s="31"/>
      <c r="D28" s="31"/>
      <c r="E28" s="31"/>
      <c r="F28" s="31"/>
    </row>
    <row r="29" spans="1:6" ht="32.1" customHeight="1">
      <c r="B29" s="38" t="s">
        <v>97</v>
      </c>
      <c r="C29" s="31"/>
      <c r="D29" s="31"/>
      <c r="E29" s="31"/>
      <c r="F29" s="31"/>
    </row>
    <row r="30" spans="1:6" ht="32.1" customHeight="1">
      <c r="B30" s="38" t="s">
        <v>98</v>
      </c>
      <c r="C30" s="31"/>
      <c r="D30" s="31"/>
      <c r="E30" s="31"/>
      <c r="F30" s="31"/>
    </row>
    <row r="31" spans="1:6" ht="32.1" customHeight="1">
      <c r="B31" s="38" t="s">
        <v>49</v>
      </c>
      <c r="C31" s="31"/>
      <c r="D31" s="31"/>
      <c r="E31" s="31"/>
      <c r="F31" s="31"/>
    </row>
  </sheetData>
  <mergeCells count="26">
    <mergeCell ref="A1:F1"/>
    <mergeCell ref="C17:F17"/>
    <mergeCell ref="B27:F27"/>
    <mergeCell ref="B24:F24"/>
    <mergeCell ref="B26:F26"/>
    <mergeCell ref="A4:F4"/>
    <mergeCell ref="D8:F8"/>
    <mergeCell ref="D7:F7"/>
    <mergeCell ref="E5:F5"/>
    <mergeCell ref="D6:F6"/>
    <mergeCell ref="A3:F3"/>
    <mergeCell ref="A2:F2"/>
    <mergeCell ref="B31:F31"/>
    <mergeCell ref="C18:F18"/>
    <mergeCell ref="A19:F19"/>
    <mergeCell ref="A9:F9"/>
    <mergeCell ref="B12:F12"/>
    <mergeCell ref="B30:F30"/>
    <mergeCell ref="A13:F13"/>
    <mergeCell ref="F20"/>
    <mergeCell ref="B29:F29"/>
    <mergeCell ref="C16:F16"/>
    <mergeCell ref="B28:F28"/>
    <mergeCell ref="A25:F25"/>
    <mergeCell ref="C15:F15"/>
    <mergeCell ref="C14:F1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selection activeCell="C4" sqref="C4"/>
    </sheetView>
  </sheetViews>
  <sheetFormatPr defaultRowHeight="15.75"/>
  <cols>
    <col min="1" max="1" width="2.5703125" customWidth="1"/>
    <col min="2" max="2" width="5" customWidth="1"/>
    <col min="3" max="3" width="18" customWidth="1"/>
    <col min="4" max="10" width="13.28515625" customWidth="1"/>
    <col min="11" max="11" width="9" customWidth="1"/>
    <col min="12" max="12" width="22" customWidth="1"/>
    <col min="14" max="14" width="15.28515625" customWidth="1"/>
  </cols>
  <sheetData>
    <row r="1" spans="1:15" ht="26.1" customHeight="1">
      <c r="A1" s="34" t="s">
        <v>99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5" ht="27.95" customHeight="1">
      <c r="A2" s="32" t="s">
        <v>92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5" ht="30" customHeight="1">
      <c r="B3" s="1" t="s">
        <v>50</v>
      </c>
      <c r="C3" s="1" t="s">
        <v>51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53</v>
      </c>
      <c r="L3" s="1" t="s">
        <v>54</v>
      </c>
      <c r="N3" s="14" t="s">
        <v>89</v>
      </c>
      <c r="O3" s="15">
        <v>0.1</v>
      </c>
    </row>
    <row r="4" spans="1:15" ht="27">
      <c r="B4" s="5">
        <v>1</v>
      </c>
      <c r="C4" s="7" t="s">
        <v>102</v>
      </c>
      <c r="D4" s="7">
        <v>50</v>
      </c>
      <c r="E4" s="7">
        <v>55</v>
      </c>
      <c r="F4" s="5" t="str">
        <f>IF(D4="","",IF(D4&gt;=800,"高",IF(D4&gt;=250,IF(D4&lt;=600,"中","—"),IF(D4&gt;=50,IF(D4&lt;=150,"低","—"),"—"))))</f>
        <v>低</v>
      </c>
      <c r="G4" s="5" t="str">
        <f>IF(E4="","",IF(E4&gt;=800,"高",IF(E4&gt;=250,IF(E4&lt;=600,"中","—"),IF(E4&gt;=50,IF(E4&lt;=150,"低","—"),"—"))))</f>
        <v>低</v>
      </c>
      <c r="H4" s="16">
        <f>IF(OR(D4="",E4=""),"",AVERAGE(D4,E4))</f>
        <v>52.5</v>
      </c>
      <c r="I4" s="11">
        <f>IF(OR(H4="",H4=0),"",ABS(D4-E4)/H4)</f>
        <v>9.5238095238095233E-2</v>
      </c>
      <c r="J4" s="5" t="str">
        <f>IF(H4="","",IF(H4&gt;=800,"高",IF(H4&gt;=250,IF(H4&lt;=600,"中","—"),IF(H4&gt;=50,IF(H4&lt;=150,"低","—"),"—"))))</f>
        <v>低</v>
      </c>
      <c r="K4" s="7"/>
      <c r="L4" s="10"/>
      <c r="N4" s="13" t="s">
        <v>90</v>
      </c>
    </row>
    <row r="5" spans="1:15">
      <c r="B5" s="5">
        <v>2</v>
      </c>
      <c r="C5" s="7"/>
      <c r="D5" s="7"/>
      <c r="E5" s="7"/>
      <c r="F5" s="5" t="str">
        <f t="shared" ref="F5:F33" si="0">IF(D5="","",IF(D5&gt;=800,"高",IF(D5&gt;=250,IF(D5&lt;=600,"中","—"),IF(D5&gt;=50,IF(D5&lt;=150,"低","—"),"—"))))</f>
        <v/>
      </c>
      <c r="G5" s="5" t="str">
        <f t="shared" ref="G5:G33" si="1">IF(E5="","",IF(E5&gt;=800,"高",IF(E5&gt;=250,IF(E5&lt;=600,"中","—"),IF(E5&gt;=50,IF(E5&lt;=150,"低","—"),"—"))))</f>
        <v/>
      </c>
      <c r="H5" s="16" t="str">
        <f t="shared" ref="H5:H33" si="2">IF(OR(D5="",E5=""),"",AVERAGE(D5,E5))</f>
        <v/>
      </c>
      <c r="I5" s="11" t="str">
        <f t="shared" ref="I5:I33" si="3">IF(OR(H5="",H5=0),"",ABS(D5-E5)/H5)</f>
        <v/>
      </c>
      <c r="J5" s="5" t="str">
        <f t="shared" ref="J5:J33" si="4">IF(H5="","",IF(H5&gt;=800,"高",IF(H5&gt;=250,IF(H5&lt;=600,"中","—"),IF(H5&gt;=50,IF(H5&lt;=150,"低","—"),"—"))))</f>
        <v/>
      </c>
      <c r="K5" s="7"/>
      <c r="L5" s="10"/>
    </row>
    <row r="6" spans="1:15">
      <c r="B6" s="5">
        <v>3</v>
      </c>
      <c r="C6" s="7"/>
      <c r="D6" s="7"/>
      <c r="E6" s="7"/>
      <c r="F6" s="5" t="str">
        <f t="shared" si="0"/>
        <v/>
      </c>
      <c r="G6" s="5" t="str">
        <f t="shared" si="1"/>
        <v/>
      </c>
      <c r="H6" s="16" t="str">
        <f t="shared" si="2"/>
        <v/>
      </c>
      <c r="I6" s="11" t="str">
        <f t="shared" si="3"/>
        <v/>
      </c>
      <c r="J6" s="5" t="str">
        <f t="shared" si="4"/>
        <v/>
      </c>
      <c r="K6" s="7"/>
      <c r="L6" s="10"/>
    </row>
    <row r="7" spans="1:15">
      <c r="B7" s="5">
        <v>4</v>
      </c>
      <c r="C7" s="7"/>
      <c r="D7" s="7"/>
      <c r="E7" s="7"/>
      <c r="F7" s="5" t="str">
        <f t="shared" si="0"/>
        <v/>
      </c>
      <c r="G7" s="5" t="str">
        <f t="shared" si="1"/>
        <v/>
      </c>
      <c r="H7" s="16" t="str">
        <f t="shared" si="2"/>
        <v/>
      </c>
      <c r="I7" s="11" t="str">
        <f t="shared" si="3"/>
        <v/>
      </c>
      <c r="J7" s="5" t="str">
        <f t="shared" si="4"/>
        <v/>
      </c>
      <c r="K7" s="7"/>
      <c r="L7" s="10"/>
    </row>
    <row r="8" spans="1:15">
      <c r="B8" s="5">
        <v>5</v>
      </c>
      <c r="C8" s="7"/>
      <c r="D8" s="7"/>
      <c r="E8" s="7"/>
      <c r="F8" s="5" t="str">
        <f t="shared" si="0"/>
        <v/>
      </c>
      <c r="G8" s="5" t="str">
        <f t="shared" si="1"/>
        <v/>
      </c>
      <c r="H8" s="16" t="str">
        <f t="shared" si="2"/>
        <v/>
      </c>
      <c r="I8" s="11" t="str">
        <f t="shared" si="3"/>
        <v/>
      </c>
      <c r="J8" s="5" t="str">
        <f t="shared" si="4"/>
        <v/>
      </c>
      <c r="K8" s="7"/>
      <c r="L8" s="10"/>
    </row>
    <row r="9" spans="1:15">
      <c r="B9" s="5">
        <v>6</v>
      </c>
      <c r="C9" s="7"/>
      <c r="D9" s="7"/>
      <c r="E9" s="7"/>
      <c r="F9" s="5" t="str">
        <f t="shared" si="0"/>
        <v/>
      </c>
      <c r="G9" s="5" t="str">
        <f t="shared" si="1"/>
        <v/>
      </c>
      <c r="H9" s="16" t="str">
        <f t="shared" si="2"/>
        <v/>
      </c>
      <c r="I9" s="11" t="str">
        <f t="shared" si="3"/>
        <v/>
      </c>
      <c r="J9" s="5" t="str">
        <f t="shared" si="4"/>
        <v/>
      </c>
      <c r="K9" s="7"/>
      <c r="L9" s="10"/>
    </row>
    <row r="10" spans="1:15">
      <c r="B10" s="5">
        <v>7</v>
      </c>
      <c r="C10" s="7"/>
      <c r="D10" s="7"/>
      <c r="E10" s="7"/>
      <c r="F10" s="5" t="str">
        <f t="shared" si="0"/>
        <v/>
      </c>
      <c r="G10" s="5" t="str">
        <f t="shared" si="1"/>
        <v/>
      </c>
      <c r="H10" s="16" t="str">
        <f t="shared" si="2"/>
        <v/>
      </c>
      <c r="I10" s="11" t="str">
        <f t="shared" si="3"/>
        <v/>
      </c>
      <c r="J10" s="5" t="str">
        <f t="shared" si="4"/>
        <v/>
      </c>
      <c r="K10" s="7"/>
      <c r="L10" s="10"/>
    </row>
    <row r="11" spans="1:15">
      <c r="B11" s="5">
        <v>8</v>
      </c>
      <c r="C11" s="7"/>
      <c r="D11" s="7"/>
      <c r="E11" s="7"/>
      <c r="F11" s="5" t="str">
        <f t="shared" si="0"/>
        <v/>
      </c>
      <c r="G11" s="5" t="str">
        <f t="shared" si="1"/>
        <v/>
      </c>
      <c r="H11" s="16" t="str">
        <f t="shared" si="2"/>
        <v/>
      </c>
      <c r="I11" s="11" t="str">
        <f t="shared" si="3"/>
        <v/>
      </c>
      <c r="J11" s="5" t="str">
        <f t="shared" si="4"/>
        <v/>
      </c>
      <c r="K11" s="7"/>
      <c r="L11" s="10"/>
    </row>
    <row r="12" spans="1:15">
      <c r="B12" s="5">
        <v>9</v>
      </c>
      <c r="C12" s="7"/>
      <c r="D12" s="7"/>
      <c r="E12" s="7"/>
      <c r="F12" s="5" t="str">
        <f t="shared" si="0"/>
        <v/>
      </c>
      <c r="G12" s="5" t="str">
        <f t="shared" si="1"/>
        <v/>
      </c>
      <c r="H12" s="16" t="str">
        <f t="shared" si="2"/>
        <v/>
      </c>
      <c r="I12" s="11" t="str">
        <f t="shared" si="3"/>
        <v/>
      </c>
      <c r="J12" s="5" t="str">
        <f t="shared" si="4"/>
        <v/>
      </c>
      <c r="K12" s="7"/>
      <c r="L12" s="10"/>
    </row>
    <row r="13" spans="1:15">
      <c r="B13" s="5">
        <v>10</v>
      </c>
      <c r="C13" s="7"/>
      <c r="D13" s="7"/>
      <c r="E13" s="7"/>
      <c r="F13" s="5" t="str">
        <f t="shared" si="0"/>
        <v/>
      </c>
      <c r="G13" s="5" t="str">
        <f t="shared" si="1"/>
        <v/>
      </c>
      <c r="H13" s="16" t="str">
        <f t="shared" si="2"/>
        <v/>
      </c>
      <c r="I13" s="11" t="str">
        <f t="shared" si="3"/>
        <v/>
      </c>
      <c r="J13" s="5" t="str">
        <f t="shared" si="4"/>
        <v/>
      </c>
      <c r="K13" s="7"/>
      <c r="L13" s="10"/>
    </row>
    <row r="14" spans="1:15">
      <c r="B14" s="5">
        <v>11</v>
      </c>
      <c r="C14" s="7"/>
      <c r="D14" s="7"/>
      <c r="E14" s="7"/>
      <c r="F14" s="5" t="str">
        <f t="shared" si="0"/>
        <v/>
      </c>
      <c r="G14" s="5" t="str">
        <f t="shared" si="1"/>
        <v/>
      </c>
      <c r="H14" s="16" t="str">
        <f t="shared" si="2"/>
        <v/>
      </c>
      <c r="I14" s="11" t="str">
        <f t="shared" si="3"/>
        <v/>
      </c>
      <c r="J14" s="5" t="str">
        <f t="shared" si="4"/>
        <v/>
      </c>
      <c r="K14" s="7"/>
      <c r="L14" s="10"/>
    </row>
    <row r="15" spans="1:15">
      <c r="B15" s="5">
        <v>12</v>
      </c>
      <c r="C15" s="7"/>
      <c r="D15" s="7"/>
      <c r="E15" s="7"/>
      <c r="F15" s="5" t="str">
        <f t="shared" si="0"/>
        <v/>
      </c>
      <c r="G15" s="5" t="str">
        <f t="shared" si="1"/>
        <v/>
      </c>
      <c r="H15" s="16" t="str">
        <f t="shared" si="2"/>
        <v/>
      </c>
      <c r="I15" s="11" t="str">
        <f t="shared" si="3"/>
        <v/>
      </c>
      <c r="J15" s="5" t="str">
        <f t="shared" si="4"/>
        <v/>
      </c>
      <c r="K15" s="7"/>
      <c r="L15" s="10"/>
    </row>
    <row r="16" spans="1:15">
      <c r="B16" s="5">
        <v>13</v>
      </c>
      <c r="C16" s="7"/>
      <c r="D16" s="7"/>
      <c r="E16" s="7"/>
      <c r="F16" s="5" t="str">
        <f t="shared" si="0"/>
        <v/>
      </c>
      <c r="G16" s="5" t="str">
        <f t="shared" si="1"/>
        <v/>
      </c>
      <c r="H16" s="16" t="str">
        <f t="shared" si="2"/>
        <v/>
      </c>
      <c r="I16" s="11" t="str">
        <f t="shared" si="3"/>
        <v/>
      </c>
      <c r="J16" s="5" t="str">
        <f t="shared" si="4"/>
        <v/>
      </c>
      <c r="K16" s="7"/>
      <c r="L16" s="10"/>
    </row>
    <row r="17" spans="2:12">
      <c r="B17" s="5">
        <v>14</v>
      </c>
      <c r="C17" s="7"/>
      <c r="D17" s="7"/>
      <c r="E17" s="7"/>
      <c r="F17" s="5" t="str">
        <f t="shared" si="0"/>
        <v/>
      </c>
      <c r="G17" s="5" t="str">
        <f t="shared" si="1"/>
        <v/>
      </c>
      <c r="H17" s="16" t="str">
        <f t="shared" si="2"/>
        <v/>
      </c>
      <c r="I17" s="11" t="str">
        <f t="shared" si="3"/>
        <v/>
      </c>
      <c r="J17" s="5" t="str">
        <f t="shared" si="4"/>
        <v/>
      </c>
      <c r="K17" s="7"/>
      <c r="L17" s="10"/>
    </row>
    <row r="18" spans="2:12">
      <c r="B18" s="5">
        <v>15</v>
      </c>
      <c r="C18" s="7"/>
      <c r="D18" s="7"/>
      <c r="E18" s="7"/>
      <c r="F18" s="5" t="str">
        <f t="shared" si="0"/>
        <v/>
      </c>
      <c r="G18" s="5" t="str">
        <f t="shared" si="1"/>
        <v/>
      </c>
      <c r="H18" s="16" t="str">
        <f t="shared" si="2"/>
        <v/>
      </c>
      <c r="I18" s="11" t="str">
        <f t="shared" si="3"/>
        <v/>
      </c>
      <c r="J18" s="5" t="str">
        <f t="shared" si="4"/>
        <v/>
      </c>
      <c r="K18" s="7"/>
      <c r="L18" s="10"/>
    </row>
    <row r="19" spans="2:12">
      <c r="B19" s="5">
        <v>16</v>
      </c>
      <c r="C19" s="7"/>
      <c r="D19" s="7"/>
      <c r="E19" s="7"/>
      <c r="F19" s="5" t="str">
        <f t="shared" si="0"/>
        <v/>
      </c>
      <c r="G19" s="5" t="str">
        <f t="shared" si="1"/>
        <v/>
      </c>
      <c r="H19" s="16" t="str">
        <f t="shared" si="2"/>
        <v/>
      </c>
      <c r="I19" s="11" t="str">
        <f t="shared" si="3"/>
        <v/>
      </c>
      <c r="J19" s="5" t="str">
        <f t="shared" si="4"/>
        <v/>
      </c>
      <c r="K19" s="7"/>
      <c r="L19" s="10"/>
    </row>
    <row r="20" spans="2:12">
      <c r="B20" s="5">
        <v>17</v>
      </c>
      <c r="C20" s="7"/>
      <c r="D20" s="7"/>
      <c r="E20" s="7"/>
      <c r="F20" s="5" t="str">
        <f t="shared" si="0"/>
        <v/>
      </c>
      <c r="G20" s="5" t="str">
        <f t="shared" si="1"/>
        <v/>
      </c>
      <c r="H20" s="16" t="str">
        <f t="shared" si="2"/>
        <v/>
      </c>
      <c r="I20" s="11" t="str">
        <f t="shared" si="3"/>
        <v/>
      </c>
      <c r="J20" s="5" t="str">
        <f t="shared" si="4"/>
        <v/>
      </c>
      <c r="K20" s="7"/>
      <c r="L20" s="10"/>
    </row>
    <row r="21" spans="2:12">
      <c r="B21" s="5">
        <v>18</v>
      </c>
      <c r="C21" s="7"/>
      <c r="D21" s="7"/>
      <c r="E21" s="7"/>
      <c r="F21" s="5" t="str">
        <f t="shared" si="0"/>
        <v/>
      </c>
      <c r="G21" s="5" t="str">
        <f t="shared" si="1"/>
        <v/>
      </c>
      <c r="H21" s="16" t="str">
        <f t="shared" si="2"/>
        <v/>
      </c>
      <c r="I21" s="11" t="str">
        <f t="shared" si="3"/>
        <v/>
      </c>
      <c r="J21" s="5" t="str">
        <f t="shared" si="4"/>
        <v/>
      </c>
      <c r="K21" s="7"/>
      <c r="L21" s="10"/>
    </row>
    <row r="22" spans="2:12">
      <c r="B22" s="5">
        <v>19</v>
      </c>
      <c r="C22" s="7"/>
      <c r="D22" s="7"/>
      <c r="E22" s="7"/>
      <c r="F22" s="5" t="str">
        <f t="shared" si="0"/>
        <v/>
      </c>
      <c r="G22" s="5" t="str">
        <f t="shared" si="1"/>
        <v/>
      </c>
      <c r="H22" s="16" t="str">
        <f t="shared" si="2"/>
        <v/>
      </c>
      <c r="I22" s="11" t="str">
        <f t="shared" si="3"/>
        <v/>
      </c>
      <c r="J22" s="5" t="str">
        <f t="shared" si="4"/>
        <v/>
      </c>
      <c r="K22" s="7"/>
      <c r="L22" s="10"/>
    </row>
    <row r="23" spans="2:12">
      <c r="B23" s="5">
        <v>20</v>
      </c>
      <c r="C23" s="7"/>
      <c r="D23" s="7"/>
      <c r="E23" s="7"/>
      <c r="F23" s="5" t="str">
        <f t="shared" si="0"/>
        <v/>
      </c>
      <c r="G23" s="5" t="str">
        <f t="shared" si="1"/>
        <v/>
      </c>
      <c r="H23" s="16" t="str">
        <f t="shared" si="2"/>
        <v/>
      </c>
      <c r="I23" s="11" t="str">
        <f t="shared" si="3"/>
        <v/>
      </c>
      <c r="J23" s="5" t="str">
        <f t="shared" si="4"/>
        <v/>
      </c>
      <c r="K23" s="7"/>
      <c r="L23" s="10"/>
    </row>
    <row r="24" spans="2:12">
      <c r="B24" s="5">
        <v>21</v>
      </c>
      <c r="C24" s="7"/>
      <c r="D24" s="7"/>
      <c r="E24" s="7"/>
      <c r="F24" s="5" t="str">
        <f t="shared" si="0"/>
        <v/>
      </c>
      <c r="G24" s="5" t="str">
        <f t="shared" si="1"/>
        <v/>
      </c>
      <c r="H24" s="16" t="str">
        <f t="shared" si="2"/>
        <v/>
      </c>
      <c r="I24" s="11" t="str">
        <f t="shared" si="3"/>
        <v/>
      </c>
      <c r="J24" s="5" t="str">
        <f t="shared" si="4"/>
        <v/>
      </c>
      <c r="K24" s="7"/>
      <c r="L24" s="10"/>
    </row>
    <row r="25" spans="2:12">
      <c r="B25" s="5">
        <v>22</v>
      </c>
      <c r="C25" s="7"/>
      <c r="D25" s="7"/>
      <c r="E25" s="7"/>
      <c r="F25" s="5" t="str">
        <f t="shared" si="0"/>
        <v/>
      </c>
      <c r="G25" s="5" t="str">
        <f t="shared" si="1"/>
        <v/>
      </c>
      <c r="H25" s="16" t="str">
        <f t="shared" si="2"/>
        <v/>
      </c>
      <c r="I25" s="11" t="str">
        <f t="shared" si="3"/>
        <v/>
      </c>
      <c r="J25" s="5" t="str">
        <f t="shared" si="4"/>
        <v/>
      </c>
      <c r="K25" s="7"/>
      <c r="L25" s="10"/>
    </row>
    <row r="26" spans="2:12">
      <c r="B26" s="5">
        <v>23</v>
      </c>
      <c r="C26" s="7"/>
      <c r="D26" s="7"/>
      <c r="E26" s="7"/>
      <c r="F26" s="5" t="str">
        <f t="shared" si="0"/>
        <v/>
      </c>
      <c r="G26" s="5" t="str">
        <f t="shared" si="1"/>
        <v/>
      </c>
      <c r="H26" s="16" t="str">
        <f t="shared" si="2"/>
        <v/>
      </c>
      <c r="I26" s="11" t="str">
        <f t="shared" si="3"/>
        <v/>
      </c>
      <c r="J26" s="5" t="str">
        <f t="shared" si="4"/>
        <v/>
      </c>
      <c r="K26" s="7"/>
      <c r="L26" s="10"/>
    </row>
    <row r="27" spans="2:12">
      <c r="B27" s="5">
        <v>24</v>
      </c>
      <c r="C27" s="7"/>
      <c r="D27" s="7"/>
      <c r="E27" s="7"/>
      <c r="F27" s="5" t="str">
        <f t="shared" si="0"/>
        <v/>
      </c>
      <c r="G27" s="5" t="str">
        <f t="shared" si="1"/>
        <v/>
      </c>
      <c r="H27" s="16" t="str">
        <f t="shared" si="2"/>
        <v/>
      </c>
      <c r="I27" s="11" t="str">
        <f t="shared" si="3"/>
        <v/>
      </c>
      <c r="J27" s="5" t="str">
        <f t="shared" si="4"/>
        <v/>
      </c>
      <c r="K27" s="7"/>
      <c r="L27" s="10"/>
    </row>
    <row r="28" spans="2:12">
      <c r="B28" s="5">
        <v>25</v>
      </c>
      <c r="C28" s="7"/>
      <c r="D28" s="7"/>
      <c r="E28" s="7"/>
      <c r="F28" s="5" t="str">
        <f t="shared" si="0"/>
        <v/>
      </c>
      <c r="G28" s="5" t="str">
        <f t="shared" si="1"/>
        <v/>
      </c>
      <c r="H28" s="16" t="str">
        <f t="shared" si="2"/>
        <v/>
      </c>
      <c r="I28" s="11" t="str">
        <f t="shared" si="3"/>
        <v/>
      </c>
      <c r="J28" s="5" t="str">
        <f t="shared" si="4"/>
        <v/>
      </c>
      <c r="K28" s="7"/>
      <c r="L28" s="10"/>
    </row>
    <row r="29" spans="2:12">
      <c r="B29" s="5">
        <v>26</v>
      </c>
      <c r="C29" s="7"/>
      <c r="D29" s="7"/>
      <c r="E29" s="7"/>
      <c r="F29" s="5" t="str">
        <f t="shared" si="0"/>
        <v/>
      </c>
      <c r="G29" s="5" t="str">
        <f t="shared" si="1"/>
        <v/>
      </c>
      <c r="H29" s="16" t="str">
        <f t="shared" si="2"/>
        <v/>
      </c>
      <c r="I29" s="11" t="str">
        <f t="shared" si="3"/>
        <v/>
      </c>
      <c r="J29" s="5" t="str">
        <f t="shared" si="4"/>
        <v/>
      </c>
      <c r="K29" s="7"/>
      <c r="L29" s="10"/>
    </row>
    <row r="30" spans="2:12">
      <c r="B30" s="5">
        <v>27</v>
      </c>
      <c r="C30" s="7"/>
      <c r="D30" s="7"/>
      <c r="E30" s="7"/>
      <c r="F30" s="5" t="str">
        <f t="shared" si="0"/>
        <v/>
      </c>
      <c r="G30" s="5" t="str">
        <f t="shared" si="1"/>
        <v/>
      </c>
      <c r="H30" s="16" t="str">
        <f t="shared" si="2"/>
        <v/>
      </c>
      <c r="I30" s="11" t="str">
        <f t="shared" si="3"/>
        <v/>
      </c>
      <c r="J30" s="5" t="str">
        <f t="shared" si="4"/>
        <v/>
      </c>
      <c r="K30" s="7"/>
      <c r="L30" s="10"/>
    </row>
    <row r="31" spans="2:12">
      <c r="B31" s="5">
        <v>28</v>
      </c>
      <c r="C31" s="7"/>
      <c r="D31" s="7"/>
      <c r="E31" s="7"/>
      <c r="F31" s="5" t="str">
        <f t="shared" si="0"/>
        <v/>
      </c>
      <c r="G31" s="5" t="str">
        <f t="shared" si="1"/>
        <v/>
      </c>
      <c r="H31" s="16" t="str">
        <f t="shared" si="2"/>
        <v/>
      </c>
      <c r="I31" s="11" t="str">
        <f t="shared" si="3"/>
        <v/>
      </c>
      <c r="J31" s="5" t="str">
        <f t="shared" si="4"/>
        <v/>
      </c>
      <c r="K31" s="7"/>
      <c r="L31" s="10"/>
    </row>
    <row r="32" spans="2:12">
      <c r="B32" s="5">
        <v>29</v>
      </c>
      <c r="C32" s="7"/>
      <c r="D32" s="7"/>
      <c r="E32" s="7"/>
      <c r="F32" s="5" t="str">
        <f t="shared" si="0"/>
        <v/>
      </c>
      <c r="G32" s="5" t="str">
        <f t="shared" si="1"/>
        <v/>
      </c>
      <c r="H32" s="16" t="str">
        <f t="shared" si="2"/>
        <v/>
      </c>
      <c r="I32" s="11" t="str">
        <f t="shared" si="3"/>
        <v/>
      </c>
      <c r="J32" s="5" t="str">
        <f t="shared" si="4"/>
        <v/>
      </c>
      <c r="K32" s="7"/>
      <c r="L32" s="10"/>
    </row>
    <row r="33" spans="2:12">
      <c r="B33" s="5">
        <v>30</v>
      </c>
      <c r="C33" s="7"/>
      <c r="D33" s="7"/>
      <c r="E33" s="7"/>
      <c r="F33" s="5" t="str">
        <f t="shared" si="0"/>
        <v/>
      </c>
      <c r="G33" s="5" t="str">
        <f t="shared" si="1"/>
        <v/>
      </c>
      <c r="H33" s="16" t="str">
        <f t="shared" si="2"/>
        <v/>
      </c>
      <c r="I33" s="11" t="str">
        <f t="shared" si="3"/>
        <v/>
      </c>
      <c r="J33" s="5" t="str">
        <f t="shared" si="4"/>
        <v/>
      </c>
      <c r="K33" s="7"/>
      <c r="L33" s="10"/>
    </row>
    <row r="35" spans="2:12" ht="18" customHeight="1">
      <c r="B35" s="32" t="s">
        <v>55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</row>
  </sheetData>
  <mergeCells count="3">
    <mergeCell ref="B35:L35"/>
    <mergeCell ref="A2:L2"/>
    <mergeCell ref="A1:L1"/>
  </mergeCells>
  <phoneticPr fontId="8" type="noConversion"/>
  <conditionalFormatting sqref="D4:J33">
    <cfRule type="expression" dxfId="0" priority="1">
      <formula>AND(ISNUMBER($I4),$I4&gt;=$O$3)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tabSelected="1" workbookViewId="0">
      <selection activeCell="B28" sqref="B28:G28"/>
    </sheetView>
  </sheetViews>
  <sheetFormatPr defaultRowHeight="15.75"/>
  <cols>
    <col min="1" max="1" width="2.5703125" customWidth="1"/>
    <col min="2" max="2" width="5" customWidth="1"/>
    <col min="3" max="3" width="15" customWidth="1"/>
    <col min="4" max="5" width="6" customWidth="1"/>
    <col min="6" max="10" width="8" customWidth="1"/>
    <col min="11" max="12" width="11.85546875" customWidth="1"/>
    <col min="13" max="15" width="8" customWidth="1"/>
    <col min="16" max="18" width="9" customWidth="1"/>
  </cols>
  <sheetData>
    <row r="1" spans="1:18" ht="26.1" customHeight="1">
      <c r="A1" s="34" t="s">
        <v>100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7.95" customHeight="1">
      <c r="A2" s="32" t="s">
        <v>112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48" customHeight="1">
      <c r="B3" s="1" t="s">
        <v>50</v>
      </c>
      <c r="C3" s="1" t="s">
        <v>51</v>
      </c>
      <c r="D3" s="1" t="s">
        <v>52</v>
      </c>
      <c r="E3" s="1" t="s">
        <v>53</v>
      </c>
      <c r="F3" s="1" t="s">
        <v>117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115</v>
      </c>
      <c r="L3" s="1" t="s">
        <v>116</v>
      </c>
      <c r="M3" s="1" t="s">
        <v>103</v>
      </c>
      <c r="N3" s="1" t="s">
        <v>104</v>
      </c>
      <c r="O3" s="1" t="s">
        <v>105</v>
      </c>
      <c r="P3" s="1" t="s">
        <v>106</v>
      </c>
      <c r="Q3" s="1" t="s">
        <v>107</v>
      </c>
      <c r="R3" s="1" t="s">
        <v>108</v>
      </c>
    </row>
    <row r="4" spans="1:18" ht="27">
      <c r="B4" s="17">
        <v>1</v>
      </c>
      <c r="C4" s="17" t="s">
        <v>102</v>
      </c>
      <c r="D4" s="17" t="str">
        <f>IF(C4="","",IFERROR(IF(INDEX(B_選片!$J$4:$J$33,MATCH(C4,B_選片!$C$4:$C$33,0))="","",INDEX(B_選片!$J$4:$J$33,MATCH(C4,B_選片!$C$4:$C$33,0))),"查無"))</f>
        <v>低</v>
      </c>
      <c r="E4" s="17" t="s">
        <v>101</v>
      </c>
      <c r="F4" s="17" t="str">
        <f t="shared" ref="F4:F20" si="0">IF(E4="G1","AOI-1",IF(E4="G2","AOI-2",""))</f>
        <v>AOI-1</v>
      </c>
      <c r="G4" s="17">
        <f>IF(C4="","",IFERROR(IF(INDEX(B_選片!$E$4:$E$33,MATCH(C4,B_選片!$C$4:$C$33,0))="","",INDEX(B_選片!$E$4:$E$33,MATCH(C4,B_選片!$C$4:$C$33,0))),"查無"))</f>
        <v>55</v>
      </c>
      <c r="H4" s="17">
        <f>IF(C4="","",IFERROR(IF(INDEX(B_選片!$D$4:$D$33,MATCH(C4,B_選片!$C$4:$C$33,0))="","",INDEX(B_選片!$D$4:$D$33,MATCH(C4,B_選片!$C$4:$C$33,0))),"查無"))</f>
        <v>50</v>
      </c>
      <c r="I4" s="17"/>
      <c r="J4" s="17"/>
      <c r="K4" s="17"/>
      <c r="L4" s="17"/>
      <c r="M4" s="17" t="str">
        <f>IF(F4="AOI-1","AOI-2",IF(F4="AOI-2","AOI-1",""))</f>
        <v>AOI-2</v>
      </c>
      <c r="N4" s="27" t="str">
        <f>IF(OR(L4="",COUNT(G4:J4)&lt;4),"",IF(F4="AOI-1",L4*AVERAGE(H4,I4)/AVERAGE(G4,J4),L4*AVERAGE(G4,J4)/AVERAGE(H4,I4)))</f>
        <v/>
      </c>
      <c r="O4" s="20" t="str">
        <f>IF(COUNT(G4:J4)&lt;4,"",(AVERAGE(H4,I4)-AVERAGE(G4,J4))/AVERAGE(G4,J4))</f>
        <v/>
      </c>
      <c r="P4" s="21" t="str">
        <f>IF(OR(K4="",COUNT(G4:J4)&lt;4),"",IF(F4="AOI-1",(AVERAGE(H4,I4)-K4)/AVERAGE(H4,I4),(AVERAGE(G4,J4)-K4)/AVERAGE(G4,J4)))</f>
        <v/>
      </c>
      <c r="Q4" s="20" t="str">
        <f>IF(OR(K4="",N4=""),"",(K4-N4)/K4)</f>
        <v/>
      </c>
      <c r="R4" s="20" t="e">
        <f>IF(OR(N4="",#REF!=""),"",(N4-#REF!)/N4)</f>
        <v>#REF!</v>
      </c>
    </row>
    <row r="5" spans="1:18">
      <c r="B5" s="22">
        <v>2</v>
      </c>
      <c r="C5" s="22"/>
      <c r="D5" s="26" t="str">
        <f>IF(C5="","",IFERROR(IF(INDEX(B_選片!$J$4:$J$33,MATCH(C5,B_選片!$C$4:$C$33,0))="","",INDEX(B_選片!$J$4:$J$33,MATCH(C5,B_選片!$C$4:$C$33,0))),"查無"))</f>
        <v/>
      </c>
      <c r="E5" s="23" t="s">
        <v>61</v>
      </c>
      <c r="F5" s="22" t="str">
        <f t="shared" si="0"/>
        <v>AOI-2</v>
      </c>
      <c r="G5" s="26" t="str">
        <f>IF(C5="","",IFERROR(IF(INDEX(B_選片!$E$4:$E$33,MATCH(C5,B_選片!$C$4:$C$33,0))="","",INDEX(B_選片!$E$4:$E$33,MATCH(C5,B_選片!$C$4:$C$33,0))),"查無"))</f>
        <v/>
      </c>
      <c r="H5" s="26" t="str">
        <f>IF(C5="","",IFERROR(IF(INDEX(B_選片!$D$4:$D$33,MATCH(C5,B_選片!$C$4:$C$33,0))="","",INDEX(B_選片!$D$4:$D$33,MATCH(C5,B_選片!$C$4:$C$33,0))),"查無"))</f>
        <v/>
      </c>
      <c r="I5" s="22"/>
      <c r="J5" s="22"/>
      <c r="K5" s="22"/>
      <c r="L5" s="22"/>
      <c r="M5" s="22" t="str">
        <f>IF(F5="AOI-1","AOI-2",IF(F5="AOI-2","AOI-1",""))</f>
        <v>AOI-1</v>
      </c>
      <c r="N5" s="28" t="str">
        <f>IF(OR(L5="",COUNT(G5:J5)&lt;4),"",IF(F5="AOI-1",L5*AVERAGE(H5,I5)/AVERAGE(G5,J5),L5*AVERAGE(G5,J5)/AVERAGE(H5,I5)))</f>
        <v/>
      </c>
      <c r="O5" s="24" t="str">
        <f>IF(COUNT(G5:J5)&lt;4,"",(AVERAGE(H5,I5)-AVERAGE(G5,J5))/AVERAGE(G5,J5))</f>
        <v/>
      </c>
      <c r="P5" s="25" t="str">
        <f>IF(OR(K5="",COUNT(G5:J5)&lt;4),"",IF(F5="AOI-1",(AVERAGE(H5,I5)-K5)/AVERAGE(H5,I5),(AVERAGE(G5,J5)-K5)/AVERAGE(G5,J5)))</f>
        <v/>
      </c>
      <c r="Q5" s="24" t="str">
        <f>IF(OR(K5="",N5=""),"",(K5-N5)/K5)</f>
        <v/>
      </c>
      <c r="R5" s="24" t="e">
        <f>IF(OR(N5="",#REF!=""),"",(N5-#REF!)/N5)</f>
        <v>#REF!</v>
      </c>
    </row>
    <row r="6" spans="1:18">
      <c r="B6" s="5"/>
      <c r="C6" s="5"/>
      <c r="D6" s="5"/>
      <c r="E6" s="8"/>
      <c r="F6" s="5"/>
      <c r="G6" s="5"/>
      <c r="H6" s="5"/>
      <c r="I6" s="5"/>
      <c r="J6" s="5"/>
      <c r="K6" s="5"/>
      <c r="L6" s="5"/>
      <c r="M6" s="5"/>
      <c r="N6" s="29"/>
      <c r="O6" s="12"/>
      <c r="P6" s="11"/>
      <c r="Q6" s="12"/>
      <c r="R6" s="12"/>
    </row>
    <row r="7" spans="1:18">
      <c r="B7" s="17">
        <v>3</v>
      </c>
      <c r="C7" s="17"/>
      <c r="D7" s="17" t="str">
        <f>IF(C7="","",IFERROR(IF(INDEX(B_選片!$J$4:$J$33,MATCH(C7,B_選片!$C$4:$C$33,0))="","",INDEX(B_選片!$J$4:$J$33,MATCH(C7,B_選片!$C$4:$C$33,0))),"查無"))</f>
        <v/>
      </c>
      <c r="E7" s="17" t="s">
        <v>101</v>
      </c>
      <c r="F7" s="17" t="str">
        <f t="shared" si="0"/>
        <v>AOI-1</v>
      </c>
      <c r="G7" s="17" t="str">
        <f>IF(C7="","",IFERROR(IF(INDEX(B_選片!$E$4:$E$33,MATCH(C7,B_選片!$C$4:$C$33,0))="","",INDEX(B_選片!$E$4:$E$33,MATCH(C7,B_選片!$C$4:$C$33,0))),"查無"))</f>
        <v/>
      </c>
      <c r="H7" s="17" t="str">
        <f>IF(C7="","",IFERROR(IF(INDEX(B_選片!$D$4:$D$33,MATCH(C7,B_選片!$C$4:$C$33,0))="","",INDEX(B_選片!$D$4:$D$33,MATCH(C7,B_選片!$C$4:$C$33,0))),"查無"))</f>
        <v/>
      </c>
      <c r="I7" s="17"/>
      <c r="J7" s="17"/>
      <c r="K7" s="17"/>
      <c r="L7" s="17"/>
      <c r="M7" s="17" t="str">
        <f>IF(F7="AOI-1","AOI-2",IF(F7="AOI-2","AOI-1",""))</f>
        <v>AOI-2</v>
      </c>
      <c r="N7" s="27" t="str">
        <f>IF(OR(L7="",COUNT(G7:J7)&lt;4),"",IF(F7="AOI-1",L7*AVERAGE(H7,I7)/AVERAGE(G7,J7),L7*AVERAGE(G7,J7)/AVERAGE(H7,I7)))</f>
        <v/>
      </c>
      <c r="O7" s="20" t="str">
        <f>IF(COUNT(G7:J7)&lt;4,"",(AVERAGE(H7,I7)-AVERAGE(G7,J7))/AVERAGE(G7,J7))</f>
        <v/>
      </c>
      <c r="P7" s="21" t="str">
        <f>IF(OR(K7="",COUNT(G7:J7)&lt;4),"",IF(F7="AOI-1",(AVERAGE(H7,I7)-K7)/AVERAGE(H7,I7),(AVERAGE(G7,J7)-K7)/AVERAGE(G7,J7)))</f>
        <v/>
      </c>
      <c r="Q7" s="20" t="str">
        <f>IF(OR(K7="",N7=""),"",(K7-N7)/K7)</f>
        <v/>
      </c>
      <c r="R7" s="20" t="e">
        <f>IF(OR(N7="",#REF!=""),"",(N7-#REF!)/N7)</f>
        <v>#REF!</v>
      </c>
    </row>
    <row r="8" spans="1:18">
      <c r="B8" s="22">
        <v>4</v>
      </c>
      <c r="C8" s="22"/>
      <c r="D8" s="26" t="str">
        <f>IF(C8="","",IFERROR(IF(INDEX(B_選片!$J$4:$J$33,MATCH(C8,B_選片!$C$4:$C$33,0))="","",INDEX(B_選片!$J$4:$J$33,MATCH(C8,B_選片!$C$4:$C$33,0))),"查無"))</f>
        <v/>
      </c>
      <c r="E8" s="23" t="s">
        <v>61</v>
      </c>
      <c r="F8" s="22" t="str">
        <f t="shared" si="0"/>
        <v>AOI-2</v>
      </c>
      <c r="G8" s="26" t="str">
        <f>IF(C8="","",IFERROR(IF(INDEX(B_選片!$E$4:$E$33,MATCH(C8,B_選片!$C$4:$C$33,0))="","",INDEX(B_選片!$E$4:$E$33,MATCH(C8,B_選片!$C$4:$C$33,0))),"查無"))</f>
        <v/>
      </c>
      <c r="H8" s="26" t="str">
        <f>IF(C8="","",IFERROR(IF(INDEX(B_選片!$D$4:$D$33,MATCH(C8,B_選片!$C$4:$C$33,0))="","",INDEX(B_選片!$D$4:$D$33,MATCH(C8,B_選片!$C$4:$C$33,0))),"查無"))</f>
        <v/>
      </c>
      <c r="I8" s="22"/>
      <c r="J8" s="22"/>
      <c r="K8" s="22"/>
      <c r="L8" s="22"/>
      <c r="M8" s="22" t="str">
        <f>IF(F8="AOI-1","AOI-2",IF(F8="AOI-2","AOI-1",""))</f>
        <v>AOI-1</v>
      </c>
      <c r="N8" s="28" t="str">
        <f>IF(OR(L8="",COUNT(G8:J8)&lt;4),"",IF(F8="AOI-1",L8*AVERAGE(H8,I8)/AVERAGE(G8,J8),L8*AVERAGE(G8,J8)/AVERAGE(H8,I8)))</f>
        <v/>
      </c>
      <c r="O8" s="24" t="str">
        <f>IF(COUNT(G8:J8)&lt;4,"",(AVERAGE(H8,I8)-AVERAGE(G8,J8))/AVERAGE(G8,J8))</f>
        <v/>
      </c>
      <c r="P8" s="25" t="str">
        <f>IF(OR(K8="",COUNT(G8:J8)&lt;4),"",IF(F8="AOI-1",(AVERAGE(H8,I8)-K8)/AVERAGE(H8,I8),(AVERAGE(G8,J8)-K8)/AVERAGE(G8,J8)))</f>
        <v/>
      </c>
      <c r="Q8" s="24" t="str">
        <f>IF(OR(K8="",N8=""),"",(K8-N8)/K8)</f>
        <v/>
      </c>
      <c r="R8" s="24" t="e">
        <f>IF(OR(N8="",#REF!=""),"",(N8-#REF!)/N8)</f>
        <v>#REF!</v>
      </c>
    </row>
    <row r="9" spans="1:18">
      <c r="B9" s="5"/>
      <c r="C9" s="5"/>
      <c r="D9" s="5"/>
      <c r="E9" s="8"/>
      <c r="F9" s="5"/>
      <c r="G9" s="5"/>
      <c r="H9" s="5"/>
      <c r="I9" s="5"/>
      <c r="J9" s="5"/>
      <c r="K9" s="5"/>
      <c r="L9" s="5"/>
      <c r="M9" s="5"/>
      <c r="N9" s="29"/>
      <c r="O9" s="12"/>
      <c r="P9" s="11"/>
      <c r="Q9" s="12"/>
      <c r="R9" s="12"/>
    </row>
    <row r="10" spans="1:18">
      <c r="B10" s="17">
        <v>5</v>
      </c>
      <c r="C10" s="17"/>
      <c r="D10" s="18" t="str">
        <f>IF(C10="","",IFERROR(IF(INDEX(B_選片!$J$4:$J$33,MATCH(C10,B_選片!$C$4:$C$33,0))="","",INDEX(B_選片!$J$4:$J$33,MATCH(C10,B_選片!$C$4:$C$33,0))),"查無"))</f>
        <v/>
      </c>
      <c r="E10" s="19" t="s">
        <v>60</v>
      </c>
      <c r="F10" s="17" t="str">
        <f t="shared" si="0"/>
        <v>AOI-1</v>
      </c>
      <c r="G10" s="18" t="str">
        <f>IF(C10="","",IFERROR(IF(INDEX(B_選片!$E$4:$E$33,MATCH(C10,B_選片!$C$4:$C$33,0))="","",INDEX(B_選片!$E$4:$E$33,MATCH(C10,B_選片!$C$4:$C$33,0))),"查無"))</f>
        <v/>
      </c>
      <c r="H10" s="18" t="str">
        <f>IF(C10="","",IFERROR(IF(INDEX(B_選片!$D$4:$D$33,MATCH(C10,B_選片!$C$4:$C$33,0))="","",INDEX(B_選片!$D$4:$D$33,MATCH(C10,B_選片!$C$4:$C$33,0))),"查無"))</f>
        <v/>
      </c>
      <c r="I10" s="17"/>
      <c r="J10" s="17"/>
      <c r="K10" s="17"/>
      <c r="L10" s="17"/>
      <c r="M10" s="17" t="str">
        <f>IF(F10="AOI-1","AOI-2",IF(F10="AOI-2","AOI-1",""))</f>
        <v>AOI-2</v>
      </c>
      <c r="N10" s="27" t="str">
        <f>IF(OR(L10="",COUNT(G10:J10)&lt;4),"",IF(F10="AOI-1",L10*AVERAGE(H10,I10)/AVERAGE(G10,J10),L10*AVERAGE(G10,J10)/AVERAGE(H10,I10)))</f>
        <v/>
      </c>
      <c r="O10" s="20" t="str">
        <f>IF(COUNT(G10:J10)&lt;4,"",(AVERAGE(H10,I10)-AVERAGE(G10,J10))/AVERAGE(G10,J10))</f>
        <v/>
      </c>
      <c r="P10" s="21" t="str">
        <f>IF(OR(K10="",COUNT(G10:J10)&lt;4),"",IF(F10="AOI-1",(AVERAGE(H10,I10)-K10)/AVERAGE(H10,I10),(AVERAGE(G10,J10)-K10)/AVERAGE(G10,J10)))</f>
        <v/>
      </c>
      <c r="Q10" s="20" t="str">
        <f>IF(OR(K10="",N10=""),"",(K10-N10)/K10)</f>
        <v/>
      </c>
      <c r="R10" s="20" t="e">
        <f>IF(OR(N10="",#REF!=""),"",(N10-#REF!)/N10)</f>
        <v>#REF!</v>
      </c>
    </row>
    <row r="11" spans="1:18">
      <c r="B11" s="22">
        <v>6</v>
      </c>
      <c r="C11" s="22"/>
      <c r="D11" s="26" t="str">
        <f>IF(C11="","",IFERROR(IF(INDEX(B_選片!$J$4:$J$33,MATCH(C11,B_選片!$C$4:$C$33,0))="","",INDEX(B_選片!$J$4:$J$33,MATCH(C11,B_選片!$C$4:$C$33,0))),"查無"))</f>
        <v/>
      </c>
      <c r="E11" s="23" t="s">
        <v>61</v>
      </c>
      <c r="F11" s="22" t="str">
        <f t="shared" si="0"/>
        <v>AOI-2</v>
      </c>
      <c r="G11" s="26" t="str">
        <f>IF(C11="","",IFERROR(IF(INDEX(B_選片!$E$4:$E$33,MATCH(C11,B_選片!$C$4:$C$33,0))="","",INDEX(B_選片!$E$4:$E$33,MATCH(C11,B_選片!$C$4:$C$33,0))),"查無"))</f>
        <v/>
      </c>
      <c r="H11" s="26" t="str">
        <f>IF(C11="","",IFERROR(IF(INDEX(B_選片!$D$4:$D$33,MATCH(C11,B_選片!$C$4:$C$33,0))="","",INDEX(B_選片!$D$4:$D$33,MATCH(C11,B_選片!$C$4:$C$33,0))),"查無"))</f>
        <v/>
      </c>
      <c r="I11" s="22"/>
      <c r="J11" s="22"/>
      <c r="K11" s="22"/>
      <c r="L11" s="22"/>
      <c r="M11" s="22" t="str">
        <f>IF(F11="AOI-1","AOI-2",IF(F11="AOI-2","AOI-1",""))</f>
        <v>AOI-1</v>
      </c>
      <c r="N11" s="28" t="str">
        <f>IF(OR(L11="",COUNT(G11:J11)&lt;4),"",IF(F11="AOI-1",L11*AVERAGE(H11,I11)/AVERAGE(G11,J11),L11*AVERAGE(G11,J11)/AVERAGE(H11,I11)))</f>
        <v/>
      </c>
      <c r="O11" s="24" t="str">
        <f>IF(COUNT(G11:J11)&lt;4,"",(AVERAGE(H11,I11)-AVERAGE(G11,J11))/AVERAGE(G11,J11))</f>
        <v/>
      </c>
      <c r="P11" s="25" t="str">
        <f>IF(OR(K11="",COUNT(G11:J11)&lt;4),"",IF(F11="AOI-1",(AVERAGE(H11,I11)-K11)/AVERAGE(H11,I11),(AVERAGE(G11,J11)-K11)/AVERAGE(G11,J11)))</f>
        <v/>
      </c>
      <c r="Q11" s="24" t="str">
        <f>IF(OR(K11="",N11=""),"",(K11-N11)/K11)</f>
        <v/>
      </c>
      <c r="R11" s="24" t="e">
        <f>IF(OR(N11="",#REF!=""),"",(N11-#REF!)/N11)</f>
        <v>#REF!</v>
      </c>
    </row>
    <row r="12" spans="1:18">
      <c r="B12" s="5"/>
      <c r="C12" s="5"/>
      <c r="D12" s="5"/>
      <c r="E12" s="8"/>
      <c r="F12" s="5"/>
      <c r="G12" s="5"/>
      <c r="H12" s="5"/>
      <c r="I12" s="5"/>
      <c r="J12" s="5"/>
      <c r="K12" s="5"/>
      <c r="L12" s="5"/>
      <c r="M12" s="5"/>
      <c r="N12" s="29"/>
      <c r="O12" s="12"/>
      <c r="P12" s="11"/>
      <c r="Q12" s="12"/>
      <c r="R12" s="12"/>
    </row>
    <row r="13" spans="1:18">
      <c r="B13" s="17">
        <v>7</v>
      </c>
      <c r="C13" s="17"/>
      <c r="D13" s="18" t="str">
        <f>IF(C13="","",IFERROR(IF(INDEX(B_選片!$J$4:$J$33,MATCH(C13,B_選片!$C$4:$C$33,0))="","",INDEX(B_選片!$J$4:$J$33,MATCH(C13,B_選片!$C$4:$C$33,0))),"查無"))</f>
        <v/>
      </c>
      <c r="E13" s="19" t="s">
        <v>60</v>
      </c>
      <c r="F13" s="17" t="str">
        <f t="shared" si="0"/>
        <v>AOI-1</v>
      </c>
      <c r="G13" s="18" t="str">
        <f>IF(C13="","",IFERROR(IF(INDEX(B_選片!$E$4:$E$33,MATCH(C13,B_選片!$C$4:$C$33,0))="","",INDEX(B_選片!$E$4:$E$33,MATCH(C13,B_選片!$C$4:$C$33,0))),"查無"))</f>
        <v/>
      </c>
      <c r="H13" s="18" t="str">
        <f>IF(C13="","",IFERROR(IF(INDEX(B_選片!$D$4:$D$33,MATCH(C13,B_選片!$C$4:$C$33,0))="","",INDEX(B_選片!$D$4:$D$33,MATCH(C13,B_選片!$C$4:$C$33,0))),"查無"))</f>
        <v/>
      </c>
      <c r="I13" s="17"/>
      <c r="J13" s="17"/>
      <c r="K13" s="17"/>
      <c r="L13" s="17"/>
      <c r="M13" s="17" t="str">
        <f>IF(F13="AOI-1","AOI-2",IF(F13="AOI-2","AOI-1",""))</f>
        <v>AOI-2</v>
      </c>
      <c r="N13" s="27" t="str">
        <f>IF(OR(L13="",COUNT(G13:J13)&lt;4),"",IF(F13="AOI-1",L13*AVERAGE(H13,I13)/AVERAGE(G13,J13),L13*AVERAGE(G13,J13)/AVERAGE(H13,I13)))</f>
        <v/>
      </c>
      <c r="O13" s="20" t="str">
        <f>IF(COUNT(G13:J13)&lt;4,"",(AVERAGE(H13,I13)-AVERAGE(G13,J13))/AVERAGE(G13,J13))</f>
        <v/>
      </c>
      <c r="P13" s="21" t="str">
        <f>IF(OR(K13="",COUNT(G13:J13)&lt;4),"",IF(F13="AOI-1",(AVERAGE(H13,I13)-K13)/AVERAGE(H13,I13),(AVERAGE(G13,J13)-K13)/AVERAGE(G13,J13)))</f>
        <v/>
      </c>
      <c r="Q13" s="20" t="str">
        <f>IF(OR(K13="",N13=""),"",(K13-N13)/K13)</f>
        <v/>
      </c>
      <c r="R13" s="20" t="e">
        <f>IF(OR(N13="",#REF!=""),"",(N13-#REF!)/N13)</f>
        <v>#REF!</v>
      </c>
    </row>
    <row r="14" spans="1:18">
      <c r="B14" s="22">
        <v>8</v>
      </c>
      <c r="C14" s="22"/>
      <c r="D14" s="26" t="str">
        <f>IF(C14="","",IFERROR(IF(INDEX(B_選片!$J$4:$J$33,MATCH(C14,B_選片!$C$4:$C$33,0))="","",INDEX(B_選片!$J$4:$J$33,MATCH(C14,B_選片!$C$4:$C$33,0))),"查無"))</f>
        <v/>
      </c>
      <c r="E14" s="23" t="s">
        <v>61</v>
      </c>
      <c r="F14" s="22" t="str">
        <f t="shared" si="0"/>
        <v>AOI-2</v>
      </c>
      <c r="G14" s="26" t="str">
        <f>IF(C14="","",IFERROR(IF(INDEX(B_選片!$E$4:$E$33,MATCH(C14,B_選片!$C$4:$C$33,0))="","",INDEX(B_選片!$E$4:$E$33,MATCH(C14,B_選片!$C$4:$C$33,0))),"查無"))</f>
        <v/>
      </c>
      <c r="H14" s="26" t="str">
        <f>IF(C14="","",IFERROR(IF(INDEX(B_選片!$D$4:$D$33,MATCH(C14,B_選片!$C$4:$C$33,0))="","",INDEX(B_選片!$D$4:$D$33,MATCH(C14,B_選片!$C$4:$C$33,0))),"查無"))</f>
        <v/>
      </c>
      <c r="I14" s="22"/>
      <c r="J14" s="22"/>
      <c r="K14" s="22"/>
      <c r="L14" s="22"/>
      <c r="M14" s="22" t="str">
        <f>IF(F14="AOI-1","AOI-2",IF(F14="AOI-2","AOI-1",""))</f>
        <v>AOI-1</v>
      </c>
      <c r="N14" s="28" t="str">
        <f>IF(OR(L14="",COUNT(G14:J14)&lt;4),"",IF(F14="AOI-1",L14*AVERAGE(H14,I14)/AVERAGE(G14,J14),L14*AVERAGE(G14,J14)/AVERAGE(H14,I14)))</f>
        <v/>
      </c>
      <c r="O14" s="24" t="str">
        <f>IF(COUNT(G14:J14)&lt;4,"",(AVERAGE(H14,I14)-AVERAGE(G14,J14))/AVERAGE(G14,J14))</f>
        <v/>
      </c>
      <c r="P14" s="25" t="str">
        <f>IF(OR(K14="",COUNT(G14:J14)&lt;4),"",IF(F14="AOI-1",(AVERAGE(H14,I14)-K14)/AVERAGE(H14,I14),(AVERAGE(G14,J14)-K14)/AVERAGE(G14,J14)))</f>
        <v/>
      </c>
      <c r="Q14" s="24" t="str">
        <f>IF(OR(K14="",N14=""),"",(K14-N14)/K14)</f>
        <v/>
      </c>
      <c r="R14" s="24" t="e">
        <f>IF(OR(N14="",#REF!=""),"",(N14-#REF!)/N14)</f>
        <v>#REF!</v>
      </c>
    </row>
    <row r="15" spans="1:18">
      <c r="B15" s="5"/>
      <c r="C15" s="5"/>
      <c r="D15" s="5"/>
      <c r="E15" s="8"/>
      <c r="F15" s="5"/>
      <c r="G15" s="5"/>
      <c r="H15" s="5"/>
      <c r="I15" s="5"/>
      <c r="J15" s="5"/>
      <c r="K15" s="5"/>
      <c r="L15" s="5"/>
      <c r="M15" s="5"/>
      <c r="N15" s="29"/>
      <c r="O15" s="12"/>
      <c r="P15" s="11"/>
      <c r="Q15" s="12"/>
      <c r="R15" s="12"/>
    </row>
    <row r="16" spans="1:18">
      <c r="B16" s="17">
        <v>9</v>
      </c>
      <c r="C16" s="17"/>
      <c r="D16" s="18" t="str">
        <f>IF(C16="","",IFERROR(IF(INDEX(B_選片!$J$4:$J$33,MATCH(C16,B_選片!$C$4:$C$33,0))="","",INDEX(B_選片!$J$4:$J$33,MATCH(C16,B_選片!$C$4:$C$33,0))),"查無"))</f>
        <v/>
      </c>
      <c r="E16" s="19" t="s">
        <v>60</v>
      </c>
      <c r="F16" s="17" t="str">
        <f t="shared" si="0"/>
        <v>AOI-1</v>
      </c>
      <c r="G16" s="18" t="str">
        <f>IF(C16="","",IFERROR(IF(INDEX(B_選片!$E$4:$E$33,MATCH(C16,B_選片!$C$4:$C$33,0))="","",INDEX(B_選片!$E$4:$E$33,MATCH(C16,B_選片!$C$4:$C$33,0))),"查無"))</f>
        <v/>
      </c>
      <c r="H16" s="18" t="str">
        <f>IF(C16="","",IFERROR(IF(INDEX(B_選片!$D$4:$D$33,MATCH(C16,B_選片!$C$4:$C$33,0))="","",INDEX(B_選片!$D$4:$D$33,MATCH(C16,B_選片!$C$4:$C$33,0))),"查無"))</f>
        <v/>
      </c>
      <c r="I16" s="17"/>
      <c r="J16" s="17"/>
      <c r="K16" s="17"/>
      <c r="L16" s="17"/>
      <c r="M16" s="17" t="str">
        <f>IF(F16="AOI-1","AOI-2",IF(F16="AOI-2","AOI-1",""))</f>
        <v>AOI-2</v>
      </c>
      <c r="N16" s="27" t="str">
        <f>IF(OR(L16="",COUNT(G16:J16)&lt;4),"",IF(F16="AOI-1",L16*AVERAGE(H16,I16)/AVERAGE(G16,J16),L16*AVERAGE(G16,J16)/AVERAGE(H16,I16)))</f>
        <v/>
      </c>
      <c r="O16" s="20" t="str">
        <f>IF(COUNT(G16:J16)&lt;4,"",(AVERAGE(H16,I16)-AVERAGE(G16,J16))/AVERAGE(G16,J16))</f>
        <v/>
      </c>
      <c r="P16" s="21" t="str">
        <f>IF(OR(K16="",COUNT(G16:J16)&lt;4),"",IF(F16="AOI-1",(AVERAGE(H16,I16)-K16)/AVERAGE(H16,I16),(AVERAGE(G16,J16)-K16)/AVERAGE(G16,J16)))</f>
        <v/>
      </c>
      <c r="Q16" s="20" t="str">
        <f>IF(OR(K16="",N16=""),"",(K16-N16)/K16)</f>
        <v/>
      </c>
      <c r="R16" s="20" t="e">
        <f>IF(OR(N16="",#REF!=""),"",(N16-#REF!)/N16)</f>
        <v>#REF!</v>
      </c>
    </row>
    <row r="17" spans="2:18">
      <c r="B17" s="22">
        <v>10</v>
      </c>
      <c r="C17" s="22"/>
      <c r="D17" s="26" t="str">
        <f>IF(C17="","",IFERROR(IF(INDEX(B_選片!$J$4:$J$33,MATCH(C17,B_選片!$C$4:$C$33,0))="","",INDEX(B_選片!$J$4:$J$33,MATCH(C17,B_選片!$C$4:$C$33,0))),"查無"))</f>
        <v/>
      </c>
      <c r="E17" s="23" t="s">
        <v>61</v>
      </c>
      <c r="F17" s="22" t="str">
        <f t="shared" si="0"/>
        <v>AOI-2</v>
      </c>
      <c r="G17" s="26" t="str">
        <f>IF(C17="","",IFERROR(IF(INDEX(B_選片!$E$4:$E$33,MATCH(C17,B_選片!$C$4:$C$33,0))="","",INDEX(B_選片!$E$4:$E$33,MATCH(C17,B_選片!$C$4:$C$33,0))),"查無"))</f>
        <v/>
      </c>
      <c r="H17" s="26" t="str">
        <f>IF(C17="","",IFERROR(IF(INDEX(B_選片!$D$4:$D$33,MATCH(C17,B_選片!$C$4:$C$33,0))="","",INDEX(B_選片!$D$4:$D$33,MATCH(C17,B_選片!$C$4:$C$33,0))),"查無"))</f>
        <v/>
      </c>
      <c r="I17" s="22"/>
      <c r="J17" s="22"/>
      <c r="K17" s="22"/>
      <c r="L17" s="22"/>
      <c r="M17" s="22" t="str">
        <f>IF(F17="AOI-1","AOI-2",IF(F17="AOI-2","AOI-1",""))</f>
        <v>AOI-1</v>
      </c>
      <c r="N17" s="28" t="str">
        <f>IF(OR(L17="",COUNT(G17:J17)&lt;4),"",IF(F17="AOI-1",L17*AVERAGE(H17,I17)/AVERAGE(G17,J17),L17*AVERAGE(G17,J17)/AVERAGE(H17,I17)))</f>
        <v/>
      </c>
      <c r="O17" s="24" t="str">
        <f>IF(COUNT(G17:J17)&lt;4,"",(AVERAGE(H17,I17)-AVERAGE(G17,J17))/AVERAGE(G17,J17))</f>
        <v/>
      </c>
      <c r="P17" s="25" t="str">
        <f>IF(OR(K17="",COUNT(G17:J17)&lt;4),"",IF(F17="AOI-1",(AVERAGE(H17,I17)-K17)/AVERAGE(H17,I17),(AVERAGE(G17,J17)-K17)/AVERAGE(G17,J17)))</f>
        <v/>
      </c>
      <c r="Q17" s="24" t="str">
        <f>IF(OR(K17="",N17=""),"",(K17-N17)/K17)</f>
        <v/>
      </c>
      <c r="R17" s="24" t="e">
        <f>IF(OR(N17="",#REF!=""),"",(N17-#REF!)/N17)</f>
        <v>#REF!</v>
      </c>
    </row>
    <row r="18" spans="2:18">
      <c r="B18" s="5"/>
      <c r="C18" s="5"/>
      <c r="D18" s="5"/>
      <c r="E18" s="8"/>
      <c r="F18" s="5"/>
      <c r="G18" s="5"/>
      <c r="H18" s="5"/>
      <c r="I18" s="5"/>
      <c r="J18" s="5"/>
      <c r="K18" s="5"/>
      <c r="L18" s="5"/>
      <c r="M18" s="5"/>
      <c r="N18" s="29"/>
      <c r="O18" s="12"/>
      <c r="P18" s="11"/>
      <c r="Q18" s="12"/>
      <c r="R18" s="12"/>
    </row>
    <row r="19" spans="2:18">
      <c r="B19" s="17">
        <v>11</v>
      </c>
      <c r="C19" s="17"/>
      <c r="D19" s="18" t="str">
        <f>IF(C19="","",IFERROR(IF(INDEX(B_選片!$J$4:$J$33,MATCH(C19,B_選片!$C$4:$C$33,0))="","",INDEX(B_選片!$J$4:$J$33,MATCH(C19,B_選片!$C$4:$C$33,0))),"查無"))</f>
        <v/>
      </c>
      <c r="E19" s="19" t="s">
        <v>60</v>
      </c>
      <c r="F19" s="17" t="str">
        <f t="shared" si="0"/>
        <v>AOI-1</v>
      </c>
      <c r="G19" s="18" t="str">
        <f>IF(C19="","",IFERROR(IF(INDEX(B_選片!$E$4:$E$33,MATCH(C19,B_選片!$C$4:$C$33,0))="","",INDEX(B_選片!$E$4:$E$33,MATCH(C19,B_選片!$C$4:$C$33,0))),"查無"))</f>
        <v/>
      </c>
      <c r="H19" s="18" t="str">
        <f>IF(C19="","",IFERROR(IF(INDEX(B_選片!$D$4:$D$33,MATCH(C19,B_選片!$C$4:$C$33,0))="","",INDEX(B_選片!$D$4:$D$33,MATCH(C19,B_選片!$C$4:$C$33,0))),"查無"))</f>
        <v/>
      </c>
      <c r="I19" s="17"/>
      <c r="J19" s="17"/>
      <c r="K19" s="17"/>
      <c r="L19" s="17"/>
      <c r="M19" s="17" t="str">
        <f>IF(F19="AOI-1","AOI-2",IF(F19="AOI-2","AOI-1",""))</f>
        <v>AOI-2</v>
      </c>
      <c r="N19" s="27" t="str">
        <f>IF(OR(L19="",COUNT(G19:J19)&lt;4),"",IF(F19="AOI-1",L19*AVERAGE(H19,I19)/AVERAGE(G19,J19),L19*AVERAGE(G19,J19)/AVERAGE(H19,I19)))</f>
        <v/>
      </c>
      <c r="O19" s="20" t="str">
        <f>IF(COUNT(G19:J19)&lt;4,"",(AVERAGE(H19,I19)-AVERAGE(G19,J19))/AVERAGE(G19,J19))</f>
        <v/>
      </c>
      <c r="P19" s="21" t="str">
        <f>IF(OR(K19="",COUNT(G19:J19)&lt;4),"",IF(F19="AOI-1",(AVERAGE(H19,I19)-K19)/AVERAGE(H19,I19),(AVERAGE(G19,J19)-K19)/AVERAGE(G19,J19)))</f>
        <v/>
      </c>
      <c r="Q19" s="20" t="str">
        <f>IF(OR(K19="",N19=""),"",(K19-N19)/K19)</f>
        <v/>
      </c>
      <c r="R19" s="20" t="e">
        <f>IF(OR(N19="",#REF!=""),"",(N19-#REF!)/N19)</f>
        <v>#REF!</v>
      </c>
    </row>
    <row r="20" spans="2:18">
      <c r="B20" s="22">
        <v>12</v>
      </c>
      <c r="C20" s="22"/>
      <c r="D20" s="26" t="str">
        <f>IF(C20="","",IFERROR(IF(INDEX(B_選片!$J$4:$J$33,MATCH(C20,B_選片!$C$4:$C$33,0))="","",INDEX(B_選片!$J$4:$J$33,MATCH(C20,B_選片!$C$4:$C$33,0))),"查無"))</f>
        <v/>
      </c>
      <c r="E20" s="23" t="s">
        <v>61</v>
      </c>
      <c r="F20" s="22" t="str">
        <f t="shared" si="0"/>
        <v>AOI-2</v>
      </c>
      <c r="G20" s="26" t="str">
        <f>IF(C20="","",IFERROR(IF(INDEX(B_選片!$E$4:$E$33,MATCH(C20,B_選片!$C$4:$C$33,0))="","",INDEX(B_選片!$E$4:$E$33,MATCH(C20,B_選片!$C$4:$C$33,0))),"查無"))</f>
        <v/>
      </c>
      <c r="H20" s="26" t="str">
        <f>IF(C20="","",IFERROR(IF(INDEX(B_選片!$D$4:$D$33,MATCH(C20,B_選片!$C$4:$C$33,0))="","",INDEX(B_選片!$D$4:$D$33,MATCH(C20,B_選片!$C$4:$C$33,0))),"查無"))</f>
        <v/>
      </c>
      <c r="I20" s="22"/>
      <c r="J20" s="22"/>
      <c r="K20" s="22"/>
      <c r="L20" s="22"/>
      <c r="M20" s="22" t="str">
        <f>IF(F20="AOI-1","AOI-2",IF(F20="AOI-2","AOI-1",""))</f>
        <v>AOI-1</v>
      </c>
      <c r="N20" s="28" t="str">
        <f>IF(OR(L20="",COUNT(G20:J20)&lt;4),"",IF(F20="AOI-1",L20*AVERAGE(H20,I20)/AVERAGE(G20,J20),L20*AVERAGE(G20,J20)/AVERAGE(H20,I20)))</f>
        <v/>
      </c>
      <c r="O20" s="24" t="str">
        <f>IF(COUNT(G20:J20)&lt;4,"",(AVERAGE(H20,I20)-AVERAGE(G20,J20))/AVERAGE(G20,J20))</f>
        <v/>
      </c>
      <c r="P20" s="25" t="str">
        <f>IF(OR(K20="",COUNT(G20:J20)&lt;4),"",IF(F20="AOI-1",(AVERAGE(H20,I20)-K20)/AVERAGE(H20,I20),(AVERAGE(G20,J20)-K20)/AVERAGE(G20,J20)))</f>
        <v/>
      </c>
      <c r="Q20" s="24" t="str">
        <f>IF(OR(K20="",N20=""),"",(K20-N20)/K20)</f>
        <v/>
      </c>
      <c r="R20" s="24" t="e">
        <f>IF(OR(N20="",#REF!=""),"",(N20-#REF!)/N20)</f>
        <v>#REF!</v>
      </c>
    </row>
    <row r="21" spans="2:18" ht="20.100000000000001" customHeight="1">
      <c r="B21" s="30" t="s">
        <v>62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2:18">
      <c r="B22" s="33" t="s">
        <v>63</v>
      </c>
      <c r="C22" s="31"/>
      <c r="D22" s="31"/>
      <c r="E22" s="31"/>
      <c r="F22" s="31"/>
      <c r="G22" s="31"/>
      <c r="H22" s="35" t="str">
        <f>IFERROR(AVERAGE(O4:O20),"待量測")</f>
        <v>待量測</v>
      </c>
      <c r="I22" s="36"/>
      <c r="J22" s="36"/>
    </row>
    <row r="23" spans="2:18">
      <c r="B23" s="33" t="s">
        <v>64</v>
      </c>
      <c r="C23" s="31"/>
      <c r="D23" s="31"/>
      <c r="E23" s="31"/>
      <c r="F23" s="31"/>
      <c r="G23" s="31"/>
      <c r="H23" s="37" t="str">
        <f>IFERROR(AVERAGEIFS(P4:P20,F4:F20,"AOI-1"),"待量測")</f>
        <v>待量測</v>
      </c>
      <c r="I23" s="36"/>
      <c r="J23" s="36"/>
    </row>
    <row r="24" spans="2:18">
      <c r="B24" s="33" t="s">
        <v>65</v>
      </c>
      <c r="C24" s="31"/>
      <c r="D24" s="31"/>
      <c r="E24" s="31"/>
      <c r="F24" s="31"/>
      <c r="G24" s="31"/>
      <c r="H24" s="37" t="str">
        <f>IFERROR(AVERAGEIFS(P4:P20,F4:F20,"AOI-2"),"待量測")</f>
        <v>待量測</v>
      </c>
      <c r="I24" s="36"/>
      <c r="J24" s="36"/>
    </row>
    <row r="25" spans="2:18">
      <c r="B25" s="33" t="s">
        <v>66</v>
      </c>
      <c r="C25" s="31"/>
      <c r="D25" s="31"/>
      <c r="E25" s="31"/>
      <c r="F25" s="31"/>
      <c r="G25" s="31"/>
      <c r="H25" s="35" t="str">
        <f>IFERROR(AVERAGEIFS(Q4:Q20,F4:F20,"AOI-1"),"待量測")</f>
        <v>待量測</v>
      </c>
      <c r="I25" s="36"/>
      <c r="J25" s="36"/>
    </row>
    <row r="26" spans="2:18">
      <c r="B26" s="33" t="s">
        <v>67</v>
      </c>
      <c r="C26" s="31"/>
      <c r="D26" s="31"/>
      <c r="E26" s="31"/>
      <c r="F26" s="31"/>
      <c r="G26" s="31"/>
      <c r="H26" s="35" t="str">
        <f>IFERROR(AVERAGEIFS(Q4:Q20,F4:F20,"AOI-2"),"待量測")</f>
        <v>待量測</v>
      </c>
      <c r="I26" s="36"/>
      <c r="J26" s="36"/>
    </row>
    <row r="27" spans="2:18">
      <c r="B27" s="33" t="s">
        <v>109</v>
      </c>
      <c r="C27" s="31"/>
      <c r="D27" s="31"/>
      <c r="E27" s="31"/>
      <c r="F27" s="31"/>
      <c r="G27" s="31"/>
      <c r="H27" s="35" t="str">
        <f>IFERROR(AVERAGEIFS(R4:R20,F4:F20,"AOI-1"),"待量測")</f>
        <v>待量測</v>
      </c>
      <c r="I27" s="36"/>
      <c r="J27" s="36"/>
    </row>
    <row r="28" spans="2:18">
      <c r="B28" s="33" t="s">
        <v>110</v>
      </c>
      <c r="C28" s="31"/>
      <c r="D28" s="31"/>
      <c r="E28" s="31"/>
      <c r="F28" s="31"/>
      <c r="G28" s="31"/>
      <c r="H28" s="35" t="str">
        <f>IFERROR(AVERAGEIFS(R4:R20,F4:F20,"AOI-2"),"待量測")</f>
        <v>待量測</v>
      </c>
      <c r="I28" s="36"/>
      <c r="J28" s="36"/>
    </row>
    <row r="29" spans="2:18" ht="30" customHeight="1">
      <c r="B29" s="32" t="s">
        <v>111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</sheetData>
  <mergeCells count="18">
    <mergeCell ref="B29:R29"/>
    <mergeCell ref="H24:J24"/>
    <mergeCell ref="H23:J23"/>
    <mergeCell ref="B26:G26"/>
    <mergeCell ref="H26:J26"/>
    <mergeCell ref="B25:G25"/>
    <mergeCell ref="H25:J25"/>
    <mergeCell ref="B27:G27"/>
    <mergeCell ref="H27:J27"/>
    <mergeCell ref="B28:G28"/>
    <mergeCell ref="H28:J28"/>
    <mergeCell ref="B21:R21"/>
    <mergeCell ref="A2:R2"/>
    <mergeCell ref="B24:G24"/>
    <mergeCell ref="A1:R1"/>
    <mergeCell ref="B22:G22"/>
    <mergeCell ref="B23:G23"/>
    <mergeCell ref="H22:J22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25" sqref="D25"/>
    </sheetView>
  </sheetViews>
  <sheetFormatPr defaultRowHeight="15.75"/>
  <cols>
    <col min="1" max="1" width="2.5703125" customWidth="1"/>
    <col min="2" max="2" width="6" customWidth="1"/>
    <col min="3" max="3" width="36" customWidth="1"/>
    <col min="4" max="5" width="16" customWidth="1"/>
    <col min="6" max="6" width="14" customWidth="1"/>
  </cols>
  <sheetData>
    <row r="1" spans="1:6" ht="26.1" customHeight="1">
      <c r="A1" s="34" t="s">
        <v>68</v>
      </c>
      <c r="B1" s="31"/>
      <c r="C1" s="31"/>
      <c r="D1" s="31"/>
      <c r="E1" s="31"/>
      <c r="F1" s="31"/>
    </row>
    <row r="2" spans="1:6">
      <c r="B2" s="1" t="s">
        <v>30</v>
      </c>
      <c r="C2" s="1" t="s">
        <v>31</v>
      </c>
      <c r="D2" s="1" t="s">
        <v>69</v>
      </c>
      <c r="E2" s="1" t="s">
        <v>33</v>
      </c>
      <c r="F2" s="1" t="s">
        <v>70</v>
      </c>
    </row>
    <row r="3" spans="1:6">
      <c r="B3" s="2" t="s">
        <v>35</v>
      </c>
      <c r="C3" s="3" t="s">
        <v>71</v>
      </c>
      <c r="D3" s="9" t="str">
        <f>C_清潔力紀錄!H22</f>
        <v>待量測</v>
      </c>
      <c r="E3" s="5" t="s">
        <v>34</v>
      </c>
      <c r="F3" s="8" t="str">
        <f>IF(ISNUMBER(D3),IF(ABS(D3)&lt;=0.05,"合格","不合格"),"待量測")</f>
        <v>待量測</v>
      </c>
    </row>
    <row r="4" spans="1:6">
      <c r="B4" s="2" t="s">
        <v>42</v>
      </c>
      <c r="C4" s="3" t="s">
        <v>72</v>
      </c>
      <c r="D4" s="9" t="str">
        <f>C_清潔力紀錄!H25</f>
        <v>待量測</v>
      </c>
      <c r="E4" s="5" t="s">
        <v>73</v>
      </c>
      <c r="F4" s="8" t="str">
        <f>IF(ISNUMBER(D4),IF(ABS(D4)&lt;=0.05,"合格","不合格"),"待量測")</f>
        <v>待量測</v>
      </c>
    </row>
    <row r="5" spans="1:6">
      <c r="B5" s="2" t="s">
        <v>42</v>
      </c>
      <c r="C5" s="3" t="s">
        <v>74</v>
      </c>
      <c r="D5" s="9" t="str">
        <f>C_清潔力紀錄!H26</f>
        <v>待量測</v>
      </c>
      <c r="E5" s="5" t="s">
        <v>73</v>
      </c>
      <c r="F5" s="8" t="str">
        <f>IF(ISNUMBER(D5),IF(ABS(D5)&lt;=0.05,"合格","不合格"),"待量測")</f>
        <v>待量測</v>
      </c>
    </row>
    <row r="6" spans="1:6">
      <c r="B6" s="2" t="s">
        <v>38</v>
      </c>
      <c r="C6" s="3" t="s">
        <v>75</v>
      </c>
      <c r="D6" s="9" t="str">
        <f>IF(AND(ISNUMBER(C_清潔力紀錄!H23),ISNUMBER(C_清潔力紀錄!H24)),C_清潔力紀錄!H23-C_清潔力紀錄!H24,"待量測")</f>
        <v>待量測</v>
      </c>
      <c r="E6" s="5" t="s">
        <v>76</v>
      </c>
      <c r="F6" s="8" t="str">
        <f>IF(ISNUMBER(D6),IF(ABS(D6)&lt;=0.05,"合格","不合格"),"待量測")</f>
        <v>待量測</v>
      </c>
    </row>
    <row r="8" spans="1:6" ht="30" customHeight="1">
      <c r="B8" s="42" t="str">
        <f>IF(COUNTIF(F3:F6,"不合格")&gt;0,"◤ 綜合：有項目不合格，請廠商再調整後重測",IF(COUNTIF(F3:F6,"待量測")&gt;0,"◤ 綜合：尚有項目待量測","◤ 綜合：全部合格，建議第22項改判合格"))</f>
        <v>◤ 綜合：尚有項目待量測</v>
      </c>
      <c r="C8" s="31"/>
      <c r="D8" s="31"/>
      <c r="E8" s="31"/>
      <c r="F8" s="31"/>
    </row>
  </sheetData>
  <mergeCells count="2">
    <mergeCell ref="A1:F1"/>
    <mergeCell ref="B8:F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A_實驗計畫</vt:lpstr>
      <vt:lpstr>B_選片</vt:lpstr>
      <vt:lpstr>C_清潔力紀錄</vt:lpstr>
      <vt:lpstr>D_判定總表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佑翰 林</cp:lastModifiedBy>
  <dcterms:created xsi:type="dcterms:W3CDTF">2026-10-05T00:44:12Z</dcterms:created>
  <dcterms:modified xsi:type="dcterms:W3CDTF">2026-10-07T03:37:22Z</dcterms:modified>
</cp:coreProperties>
</file>