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實驗記錄\新DUC驗證計畫及表單\"/>
    </mc:Choice>
  </mc:AlternateContent>
  <xr:revisionPtr revIDLastSave="0" documentId="13_ncr:1_{22491452-4B7A-48F1-92EB-08F93F644FEA}" xr6:coauthVersionLast="47" xr6:coauthVersionMax="47" xr10:uidLastSave="{00000000-0000-0000-0000-000000000000}"/>
  <bookViews>
    <workbookView xWindow="8850" yWindow="2250" windowWidth="18345" windowHeight="13665" activeTab="2" xr2:uid="{00000000-000D-0000-FFFF-FFFF00000000}"/>
  </bookViews>
  <sheets>
    <sheet name="A_實驗計畫" sheetId="1" r:id="rId1"/>
    <sheet name="B_選片" sheetId="3" r:id="rId2"/>
    <sheet name="C_清潔力紀錄" sheetId="4" r:id="rId3"/>
    <sheet name="D_判定總表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4" l="1"/>
  <c r="F44" i="3"/>
  <c r="G44" i="3"/>
  <c r="H44" i="3"/>
  <c r="I44" i="3" s="1"/>
  <c r="F45" i="3"/>
  <c r="G45" i="3"/>
  <c r="H45" i="3"/>
  <c r="I45" i="3" s="1"/>
  <c r="F46" i="3"/>
  <c r="G46" i="3"/>
  <c r="H46" i="3"/>
  <c r="J46" i="3" s="1"/>
  <c r="F47" i="3"/>
  <c r="G47" i="3"/>
  <c r="H47" i="3"/>
  <c r="I47" i="3" s="1"/>
  <c r="F48" i="3"/>
  <c r="G48" i="3"/>
  <c r="H48" i="3"/>
  <c r="I48" i="3" s="1"/>
  <c r="F34" i="3"/>
  <c r="G34" i="3"/>
  <c r="H34" i="3"/>
  <c r="I34" i="3" s="1"/>
  <c r="F35" i="3"/>
  <c r="G35" i="3"/>
  <c r="H35" i="3"/>
  <c r="I35" i="3" s="1"/>
  <c r="F36" i="3"/>
  <c r="G36" i="3"/>
  <c r="H36" i="3"/>
  <c r="J36" i="3" s="1"/>
  <c r="F37" i="3"/>
  <c r="G37" i="3"/>
  <c r="H37" i="3"/>
  <c r="J37" i="3" s="1"/>
  <c r="F38" i="3"/>
  <c r="G38" i="3"/>
  <c r="H38" i="3"/>
  <c r="I38" i="3" s="1"/>
  <c r="F39" i="3"/>
  <c r="G39" i="3"/>
  <c r="H39" i="3"/>
  <c r="I39" i="3" s="1"/>
  <c r="F40" i="3"/>
  <c r="G40" i="3"/>
  <c r="H40" i="3"/>
  <c r="I40" i="3" s="1"/>
  <c r="F41" i="3"/>
  <c r="G41" i="3"/>
  <c r="H41" i="3"/>
  <c r="I41" i="3" s="1"/>
  <c r="F42" i="3"/>
  <c r="G42" i="3"/>
  <c r="H42" i="3"/>
  <c r="I42" i="3" s="1"/>
  <c r="F43" i="3"/>
  <c r="G43" i="3"/>
  <c r="H43" i="3"/>
  <c r="J43" i="3" s="1"/>
  <c r="H19" i="3"/>
  <c r="J19" i="3" s="1"/>
  <c r="G19" i="3"/>
  <c r="G20" i="4"/>
  <c r="G19" i="4"/>
  <c r="G17" i="4"/>
  <c r="G16" i="4"/>
  <c r="G14" i="4"/>
  <c r="G13" i="4"/>
  <c r="G7" i="4"/>
  <c r="G5" i="4"/>
  <c r="H5" i="3"/>
  <c r="H6" i="3"/>
  <c r="H7" i="3"/>
  <c r="I7" i="3" s="1"/>
  <c r="H8" i="3"/>
  <c r="H9" i="3"/>
  <c r="H10" i="3"/>
  <c r="I10" i="3" s="1"/>
  <c r="H11" i="3"/>
  <c r="H12" i="3"/>
  <c r="H13" i="3"/>
  <c r="I13" i="3" s="1"/>
  <c r="H14" i="3"/>
  <c r="H15" i="3"/>
  <c r="I15" i="3" s="1"/>
  <c r="H16" i="3"/>
  <c r="I16" i="3" s="1"/>
  <c r="J16" i="3"/>
  <c r="H17" i="3"/>
  <c r="J17" i="3" s="1"/>
  <c r="H18" i="3"/>
  <c r="I18" i="3" s="1"/>
  <c r="H20" i="3"/>
  <c r="I20" i="3" s="1"/>
  <c r="H21" i="3"/>
  <c r="J21" i="3" s="1"/>
  <c r="H22" i="3"/>
  <c r="I22" i="3" s="1"/>
  <c r="H23" i="3"/>
  <c r="I23" i="3" s="1"/>
  <c r="H24" i="3"/>
  <c r="H25" i="3"/>
  <c r="I25" i="3" s="1"/>
  <c r="H26" i="3"/>
  <c r="H27" i="3"/>
  <c r="H28" i="3"/>
  <c r="I28" i="3" s="1"/>
  <c r="H29" i="3"/>
  <c r="H30" i="3"/>
  <c r="H31" i="3"/>
  <c r="J31" i="3" s="1"/>
  <c r="H32" i="3"/>
  <c r="I32" i="3" s="1"/>
  <c r="H33" i="3"/>
  <c r="I33" i="3" s="1"/>
  <c r="H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G4" i="3"/>
  <c r="F4" i="3"/>
  <c r="F20" i="4"/>
  <c r="M20" i="4" s="1"/>
  <c r="F19" i="4"/>
  <c r="M19" i="4" s="1"/>
  <c r="F17" i="4"/>
  <c r="M17" i="4" s="1"/>
  <c r="F16" i="4"/>
  <c r="M16" i="4" s="1"/>
  <c r="F14" i="4"/>
  <c r="M14" i="4" s="1"/>
  <c r="F13" i="4"/>
  <c r="M13" i="4" s="1"/>
  <c r="F11" i="4"/>
  <c r="M11" i="4" s="1"/>
  <c r="F10" i="4"/>
  <c r="M10" i="4" s="1"/>
  <c r="F8" i="4"/>
  <c r="M8" i="4" s="1"/>
  <c r="F7" i="4"/>
  <c r="M7" i="4" s="1"/>
  <c r="F5" i="4"/>
  <c r="F4" i="4"/>
  <c r="I43" i="3" l="1"/>
  <c r="J41" i="3"/>
  <c r="J34" i="3"/>
  <c r="J32" i="3"/>
  <c r="I19" i="3"/>
  <c r="J45" i="3"/>
  <c r="J48" i="3"/>
  <c r="I46" i="3"/>
  <c r="J47" i="3"/>
  <c r="J44" i="3"/>
  <c r="I37" i="3"/>
  <c r="I36" i="3"/>
  <c r="J38" i="3"/>
  <c r="J35" i="3"/>
  <c r="J40" i="3"/>
  <c r="J42" i="3"/>
  <c r="J39" i="3"/>
  <c r="I31" i="3"/>
  <c r="J28" i="3"/>
  <c r="J23" i="3"/>
  <c r="I17" i="3"/>
  <c r="J13" i="3"/>
  <c r="J7" i="3"/>
  <c r="I21" i="3"/>
  <c r="J20" i="3"/>
  <c r="J33" i="3"/>
  <c r="J15" i="3"/>
  <c r="J25" i="3"/>
  <c r="J18" i="3"/>
  <c r="J22" i="3"/>
  <c r="J10" i="3"/>
  <c r="Q20" i="4"/>
  <c r="R20" i="4"/>
  <c r="P20" i="4"/>
  <c r="R19" i="4"/>
  <c r="Q19" i="4"/>
  <c r="P19" i="4"/>
  <c r="P17" i="4"/>
  <c r="Q17" i="4"/>
  <c r="R17" i="4"/>
  <c r="R16" i="4"/>
  <c r="P16" i="4"/>
  <c r="Q16" i="4"/>
  <c r="P14" i="4"/>
  <c r="Q14" i="4"/>
  <c r="R14" i="4"/>
  <c r="P13" i="4"/>
  <c r="Q13" i="4"/>
  <c r="R13" i="4"/>
  <c r="R11" i="4"/>
  <c r="P11" i="4"/>
  <c r="Q11" i="4"/>
  <c r="P10" i="4"/>
  <c r="Q10" i="4"/>
  <c r="R10" i="4"/>
  <c r="P8" i="4"/>
  <c r="Q8" i="4"/>
  <c r="R8" i="4"/>
  <c r="P7" i="4"/>
  <c r="Q7" i="4"/>
  <c r="R7" i="4"/>
  <c r="H23" i="4" s="1"/>
  <c r="P5" i="4"/>
  <c r="Q5" i="4"/>
  <c r="R5" i="4"/>
  <c r="Q4" i="4"/>
  <c r="R4" i="4"/>
  <c r="P4" i="4"/>
  <c r="M4" i="4"/>
  <c r="I6" i="3"/>
  <c r="J6" i="3"/>
  <c r="J4" i="3"/>
  <c r="I4" i="3"/>
  <c r="I5" i="3"/>
  <c r="J5" i="3"/>
  <c r="J8" i="3"/>
  <c r="I8" i="3"/>
  <c r="I9" i="3"/>
  <c r="J9" i="3"/>
  <c r="I11" i="3"/>
  <c r="J11" i="3"/>
  <c r="I12" i="3"/>
  <c r="J12" i="3"/>
  <c r="J14" i="3"/>
  <c r="I14" i="3"/>
  <c r="I24" i="3"/>
  <c r="J24" i="3"/>
  <c r="J26" i="3"/>
  <c r="I26" i="3"/>
  <c r="I27" i="3"/>
  <c r="J27" i="3"/>
  <c r="I29" i="3"/>
  <c r="J29" i="3"/>
  <c r="I30" i="3"/>
  <c r="J30" i="3"/>
  <c r="H24" i="4" l="1"/>
  <c r="D6" i="5" s="1"/>
  <c r="F6" i="5" s="1"/>
  <c r="H22" i="4"/>
  <c r="D3" i="5" s="1"/>
  <c r="F3" i="5" s="1"/>
  <c r="T20" i="4"/>
  <c r="S20" i="4"/>
  <c r="T10" i="4"/>
  <c r="S10" i="4"/>
  <c r="T19" i="4"/>
  <c r="S19" i="4"/>
  <c r="T17" i="4"/>
  <c r="S17" i="4"/>
  <c r="T16" i="4"/>
  <c r="S16" i="4"/>
  <c r="T14" i="4"/>
  <c r="S14" i="4"/>
  <c r="T13" i="4"/>
  <c r="S13" i="4"/>
  <c r="T11" i="4"/>
  <c r="S11" i="4"/>
  <c r="T5" i="4"/>
  <c r="S5" i="4"/>
  <c r="H26" i="4" s="1"/>
  <c r="D5" i="5" s="1"/>
  <c r="F5" i="5" s="1"/>
  <c r="T4" i="4"/>
  <c r="S4" i="4"/>
  <c r="S8" i="4"/>
  <c r="T8" i="4"/>
  <c r="S7" i="4"/>
  <c r="T7" i="4"/>
  <c r="H27" i="4" l="1"/>
  <c r="H28" i="4"/>
  <c r="H25" i="4"/>
  <c r="D4" i="5" s="1"/>
  <c r="F4" i="5" s="1"/>
  <c r="B8" i="5" s="1"/>
</calcChain>
</file>

<file path=xl/sharedStrings.xml><?xml version="1.0" encoding="utf-8"?>
<sst xmlns="http://schemas.openxmlformats.org/spreadsheetml/2006/main" count="278" uniqueCount="184">
  <si>
    <t>AOI-1 更換 DUC 電磁閥後 — 兩台 DUC 比對實驗計畫</t>
  </si>
  <si>
    <t>背景：廠商與 RD 交叉確認 AOI-1 控制 DUC 氣量的電磁閥與 AOI-2 不同（AOI-1 流量較小），已請購同規格電磁閥。本計畫用於換閥後驗證兩台是否一致，作為驗收第22項「機台差異性」之判定依據。</t>
  </si>
  <si>
    <t>一、換閥前的證據（為何懷疑 DUC）</t>
  </si>
  <si>
    <t>資料</t>
  </si>
  <si>
    <t>觀察</t>
  </si>
  <si>
    <t>代表意義</t>
  </si>
  <si>
    <t>實驗5 交叉清潔</t>
  </si>
  <si>
    <t>771A7：AOI-1 先吹飽和 86 → AOI-2 再吹降到 77（再少 10%）
880F0：AOI-2 先吹飽和 176 → AOI-1 再吹 174（只少 1%）</t>
  </si>
  <si>
    <t>AOI-2 吹得掉 AOI-1 留下的顆粒，反之不行 → AOI-1 DUC 較弱</t>
  </si>
  <si>
    <t>實驗4（25片）</t>
  </si>
  <si>
    <t>AOI-1 系統性比 AOI-2 高 8.7%（8/20）/ 14.2%（8/21）
低粒子片差 +10~27%、高粒子片僅 +3~7%</t>
  </si>
  <si>
    <t>像「每次多留一些未吹掉的微塵」，低粒子片最明顯</t>
  </si>
  <si>
    <t>廠商確認</t>
  </si>
  <si>
    <t>AOI-1 電磁閥規格不同、流量較小</t>
  </si>
  <si>
    <t>與上述數據方向一致</t>
  </si>
  <si>
    <t>部分</t>
  </si>
  <si>
    <t>要回答的問題</t>
  </si>
  <si>
    <t>用哪些片</t>
  </si>
  <si>
    <t>做法摘要</t>
  </si>
  <si>
    <t>約需時間</t>
  </si>
  <si>
    <t>兩台 DUC 吹掉顆粒的能力是否一致</t>
  </si>
  <si>
    <t>「新片」12 片（從未上過 AOI）
低/中/高粒子各 4 片</t>
  </si>
  <si>
    <t>先 DUC 關量（偵測比對）→ 再 DUC 開交叉清潔（6 片 AOI-1 先吹、6 片 AOI-2 先吹）</t>
  </si>
  <si>
    <t>約 1 天</t>
  </si>
  <si>
    <t>步驟0 選片</t>
  </si>
  <si>
    <t>步驟0 分組</t>
  </si>
  <si>
    <t>步驟1 DUC關</t>
  </si>
  <si>
    <t>步驟2 DUC開</t>
  </si>
  <si>
    <t>判讀邏輯</t>
  </si>
  <si>
    <t>四、判定基準（建議值，可與廠商協議調整）</t>
  </si>
  <si>
    <t>代號</t>
  </si>
  <si>
    <t>指標</t>
  </si>
  <si>
    <t>換閥前</t>
  </si>
  <si>
    <t>合格基準</t>
  </si>
  <si>
    <t>|差| ≤ 5%</t>
  </si>
  <si>
    <t>B1</t>
  </si>
  <si>
    <t>DUC 關時兩台偵測差（12片平均）</t>
  </si>
  <si>
    <t>−4.7% / +4.7%（2片）</t>
  </si>
  <si>
    <t>B2</t>
  </si>
  <si>
    <t>首道清潔去除率差（AOI-1 vs AOI-2）</t>
  </si>
  <si>
    <t>約 26% vs 41%（不同片）</t>
  </si>
  <si>
    <t>差 ≤ 5 個百分點</t>
  </si>
  <si>
    <t>B3</t>
  </si>
  <si>
    <t>交叉殘留去除率（後吹機台再吹掉的比例）</t>
  </si>
  <si>
    <t>AOI-2 後吹 10%；AOI-1 後吹 1%</t>
  </si>
  <si>
    <t>兩方向皆 ≤ 5%</t>
  </si>
  <si>
    <t>五、執行注意事項</t>
  </si>
  <si>
    <t>● 實驗前請廠商提供兩台 DUC 實測氣量／壓力值與電磁閥料號（換閥後），並確認兩台 DUC 軟體參數（吹氣時間、壓力設定）相同——這是最直接的工程證據。</t>
  </si>
  <si>
    <t>● 每次開工先用 2~3 片陪測片各跑一次暖機，不計入數據（避開穩定性實驗中的首日／首讀效應）。</t>
  </si>
  <si>
    <t>● 原始資料請依現行方式存放（機台 OutputList.csv），紀錄表只需填缺陷總數，分析由工程部完成。</t>
  </si>
  <si>
    <t>No</t>
  </si>
  <si>
    <t>刻號</t>
  </si>
  <si>
    <t>分級</t>
  </si>
  <si>
    <t>組別</t>
  </si>
  <si>
    <t>備註</t>
  </si>
  <si>
    <t>「—」＝落在級距之間，不選用。若某級湊不到 4 片，可放寬級距或改用 3 片，並於備註註明。</t>
  </si>
  <si>
    <t>DUC關
AOI-1②</t>
  </si>
  <si>
    <t>DUC關
AOI-2②</t>
  </si>
  <si>
    <t>G1</t>
  </si>
  <si>
    <t>G2</t>
  </si>
  <si>
    <t>彙總（自動計算）</t>
  </si>
  <si>
    <t>B1 偵測差（12片平均）</t>
  </si>
  <si>
    <t>B2 首道去除率 — AOI-1 先吹（G1）</t>
  </si>
  <si>
    <t>B2 首道去除率 — AOI-2 先吹（G2）</t>
  </si>
  <si>
    <t>B3 殘留去除率 — AOI-2 後吹（G1）</t>
  </si>
  <si>
    <t>B3 殘留去除率 — AOI-1 後吹（G2）</t>
  </si>
  <si>
    <t>換閥後 DUC 比對 — 判定總表（自動帶入）</t>
  </si>
  <si>
    <t>換閥後結果</t>
  </si>
  <si>
    <t>判定</t>
  </si>
  <si>
    <t>DUC 關偵測差</t>
  </si>
  <si>
    <t>殘留去除率 — AOI-2 後吹</t>
  </si>
  <si>
    <t>≤ 5%</t>
  </si>
  <si>
    <t>殘留去除率 — AOI-1 後吹</t>
  </si>
  <si>
    <t>首道去除率差（AOI-1 − AOI-2）</t>
  </si>
  <si>
    <t>≤ 5 個百分點</t>
  </si>
  <si>
    <t>二、實驗架構</t>
    <phoneticPr fontId="8" type="noConversion"/>
  </si>
  <si>
    <t>DUC 清潔力比對</t>
    <phoneticPr fontId="8" type="noConversion"/>
  </si>
  <si>
    <t>★ 為什麼 一定要用「新片」：已被 DUC 吹過多次、鬆散微塵早已吹光（重複量測只差 1%），再吹也看不出清潔力差異；必須用從未上過 AOI 的片子，才有可被吹掉的顆粒。</t>
    <phoneticPr fontId="8" type="noConversion"/>
  </si>
  <si>
    <t>三、實驗流程（DUC 清潔力交叉比對）</t>
    <phoneticPr fontId="8" type="noConversion"/>
  </si>
  <si>
    <t>全部合格 → 建議第22項「機台差異性」改判合格；B3 不合格 → 代表清潔力仍不一致，需請廠商再調氣量。</t>
    <phoneticPr fontId="8" type="noConversion"/>
  </si>
  <si>
    <t>DUC關 篩選值
AOI-1</t>
    <phoneticPr fontId="8" type="noConversion"/>
  </si>
  <si>
    <t>分級
AOI-1</t>
    <phoneticPr fontId="8" type="noConversion"/>
  </si>
  <si>
    <t>分級
AOI-2</t>
    <phoneticPr fontId="8" type="noConversion"/>
  </si>
  <si>
    <t>平均值
(AOI-1,2)</t>
  </si>
  <si>
    <t>兩邊差異
%</t>
  </si>
  <si>
    <t>綜合分級</t>
  </si>
  <si>
    <t>差異警示門檻</t>
  </si>
  <si>
    <t>差異%＝|AOI-1−AOI-2| ÷ 平均值；達門檻（≥）時該列 D~J 標紅。可改 O3。</t>
  </si>
  <si>
    <t>每級 4 片依平均值排序，第1、4片→G1（AOI-1 先吹），第2、3片→G2（AOI-2 先吹），使兩組粒子數相當。填入「B_選片」分頁。</t>
  </si>
  <si>
    <t>取一盒（約 25~30 片）從未上過 AOI 的新片，以「DUC 關」在 AOI-2、AOI-1 各量 1 次，依兩台平均值分級（綜合分級）：低 50~150、中 250~600、高 ≥800，每級挑 4 片共 12 片。兩台差異 ≥10% 時自動標紅，照常記錄不重量，由品管課及工程部判定。此次 AOI-2、AOI-1 量測值直接作為步驟1 的 AOI-2①、AOI-1① 紀錄。</t>
  </si>
  <si>
    <t>兩台都關 DUC，12 片依 AOI-2① → AOI-1① → AOI-1② → AOI-2② 順序（共 4 趟）；①兩趟沿用步驟0 選片量測值（自動帶入），只需再量 AOI-1② → AOI-2②。目的：比偵測差、建立每片「未清潔」基準。</t>
  </si>
  <si>
    <t>◤ 目的：確認換閥後兩台 DUC「清潔力」是否一致。</t>
  </si>
  <si>
    <t>● 全程使用同一個量測配方（TEST）、同一位人員，盡量同一天完成同一步驟；記錄每筆「耗時」以便抓異常（例：先前出現過 728 秒的異常掃描）。</t>
  </si>
  <si>
    <t>● 新片「一旦開 DUC 吹過就不能再當新片」：步驟1（DUC 關）務必在步驟2 之前完成，順序不可顛倒。</t>
  </si>
  <si>
    <t>● 若電磁閥尚未安裝，強烈建議先用另一批新片（可精簡為 6 片）跑一次本實驗作「換閥前基準」，換閥後再跑一次，前後比較最有說服力。</t>
  </si>
  <si>
    <t>步驟0：新片篩選與分組</t>
  </si>
  <si>
    <t>步驟1~2：DUC 清潔力交叉比對紀錄</t>
  </si>
  <si>
    <t>G1</t>
    <phoneticPr fontId="8" type="noConversion"/>
  </si>
  <si>
    <t>第2趟
機台</t>
    <phoneticPr fontId="8" type="noConversion"/>
  </si>
  <si>
    <t>第2趟
校正值</t>
    <phoneticPr fontId="8" type="noConversion"/>
  </si>
  <si>
    <t>偵測差%
(1−2)/2</t>
    <phoneticPr fontId="8" type="noConversion"/>
  </si>
  <si>
    <t>首道
去除率</t>
    <phoneticPr fontId="8" type="noConversion"/>
  </si>
  <si>
    <t>交叉殘留
去除率</t>
    <phoneticPr fontId="8" type="noConversion"/>
  </si>
  <si>
    <t>回吹
去除率</t>
    <phoneticPr fontId="8" type="noConversion"/>
  </si>
  <si>
    <t>回吹去除率 — AOI-1 回吹（G1）</t>
  </si>
  <si>
    <t>回吹去除率 — AOI-2 回吹（G2）</t>
  </si>
  <si>
    <t>換閥前參考（實驗5，2片，舊做法每台連吹 3 趟，與本做法不可直接比較）：首道去除率 AOI-1 約 26%（771A7）、AOI-2 約 41%（880F0）；殘留去除率 AOI-2 後吹 10.2%、AOI-1 後吹 1.1%。第2趟在另一台量測，已依該片 DUC 關時兩台讀值比換算成先吹機台尺度（第2趟校正值）再計算交叉殘留、回吹去除率。</t>
  </si>
  <si>
    <t>步驟1（兩台 DUC 關）只需填刻號；分級（綜合分級）及 AOI-2①、AOI-1① 由「B_選片」依刻號自動帶入（綠字，免填）；現場只需再量 AOI-1② → AOI-2②。步驟2（兩台 DUC 開）每片各吹 1 次共 3 趟：G1 AOI-1 → AOI-2 → AOI-1；G2 AOI-2 → AOI-1 → AOI-2，依序填第1、2、3趟。黃底填缺陷總數，右側自動計算。</t>
  </si>
  <si>
    <t>兩台都開 DUC，每片各吹 1 次共 3 趟：G1 AOI-1 → AOI-2 → AOI-1；G2 AOI-2 → AOI-1 → AOI-2。兩組可同時在兩台跑再對調。</t>
  </si>
  <si>
    <t>第1趟＝先吹機台首道清潔效果；第2趟換另一台，若明顯再變少＝另一台吹得掉先吹機台留下的顆粒（交叉殘留去除率）；第3趟回先吹機台，看是否還能再吹掉（回吹去除率）。第2趟為另一台讀值，計算前依該片 DUC 關時兩台讀值比換算成先吹機台尺度，以排除兩台偵測差。</t>
  </si>
  <si>
    <t xml:space="preserve">DUC開
第1趟
</t>
    <phoneticPr fontId="8" type="noConversion"/>
  </si>
  <si>
    <t xml:space="preserve">DUC開
第2趟
</t>
    <phoneticPr fontId="8" type="noConversion"/>
  </si>
  <si>
    <t>第1趟
機台</t>
    <phoneticPr fontId="8" type="noConversion"/>
  </si>
  <si>
    <t>DUC開 篩選值
AOI-2</t>
    <phoneticPr fontId="8" type="noConversion"/>
  </si>
  <si>
    <t>7X4HL05771A7</t>
    <phoneticPr fontId="8" type="noConversion"/>
  </si>
  <si>
    <t>7X4HL05770B4</t>
    <phoneticPr fontId="8" type="noConversion"/>
  </si>
  <si>
    <t>7X4HL05772A2</t>
    <phoneticPr fontId="8" type="noConversion"/>
  </si>
  <si>
    <t>低-1</t>
    <phoneticPr fontId="8" type="noConversion"/>
  </si>
  <si>
    <t>中-1</t>
    <phoneticPr fontId="8" type="noConversion"/>
  </si>
  <si>
    <t>高-1</t>
    <phoneticPr fontId="8" type="noConversion"/>
  </si>
  <si>
    <t>7X4HL05787G7</t>
    <phoneticPr fontId="8" type="noConversion"/>
  </si>
  <si>
    <t>7X4HL05788G2</t>
    <phoneticPr fontId="8" type="noConversion"/>
  </si>
  <si>
    <t>NKAAEB588DB2</t>
    <phoneticPr fontId="8" type="noConversion"/>
  </si>
  <si>
    <t>NKAAEEFA77B1</t>
    <phoneticPr fontId="8" type="noConversion"/>
  </si>
  <si>
    <t>NKAAEB57F7B4</t>
    <phoneticPr fontId="8" type="noConversion"/>
  </si>
  <si>
    <t>NKAAE26A4FD0</t>
    <phoneticPr fontId="8" type="noConversion"/>
  </si>
  <si>
    <t>NKAAEE9B78F2</t>
    <phoneticPr fontId="8" type="noConversion"/>
  </si>
  <si>
    <t>NKAAEEFA73D5</t>
    <phoneticPr fontId="8" type="noConversion"/>
  </si>
  <si>
    <t>NKAAE3342CE2</t>
    <phoneticPr fontId="8" type="noConversion"/>
  </si>
  <si>
    <t>NKAAE238E5C2</t>
    <phoneticPr fontId="8" type="noConversion"/>
  </si>
  <si>
    <t>X</t>
    <phoneticPr fontId="8" type="noConversion"/>
  </si>
  <si>
    <t>NKAAE26A3BD1</t>
    <phoneticPr fontId="8" type="noConversion"/>
  </si>
  <si>
    <t>NKAAEED984G5</t>
    <phoneticPr fontId="8" type="noConversion"/>
  </si>
  <si>
    <t>G1</t>
    <phoneticPr fontId="8" type="noConversion"/>
  </si>
  <si>
    <t>G2</t>
    <phoneticPr fontId="8" type="noConversion"/>
  </si>
  <si>
    <t>NKAAEEB3AFE3</t>
    <phoneticPr fontId="8" type="noConversion"/>
  </si>
  <si>
    <t>NKAAECF1DBD1</t>
    <phoneticPr fontId="8" type="noConversion"/>
  </si>
  <si>
    <t>NKAAEEFA95H1</t>
    <phoneticPr fontId="8" type="noConversion"/>
  </si>
  <si>
    <t>NKAAEEFA93B0</t>
    <phoneticPr fontId="8" type="noConversion"/>
  </si>
  <si>
    <t>NKAAEEDE77B6</t>
    <phoneticPr fontId="8" type="noConversion"/>
  </si>
  <si>
    <t>NKAAEEB8D4H1</t>
    <phoneticPr fontId="8" type="noConversion"/>
  </si>
  <si>
    <t>NKAAEEFA90C7</t>
    <phoneticPr fontId="8" type="noConversion"/>
  </si>
  <si>
    <t>高-2</t>
    <phoneticPr fontId="8" type="noConversion"/>
  </si>
  <si>
    <t>高-3</t>
    <phoneticPr fontId="8" type="noConversion"/>
  </si>
  <si>
    <t>高-4</t>
    <phoneticPr fontId="8" type="noConversion"/>
  </si>
  <si>
    <t>NKAAEDA95AA7</t>
    <phoneticPr fontId="8" type="noConversion"/>
  </si>
  <si>
    <t>NKAAEEB098D4</t>
    <phoneticPr fontId="8" type="noConversion"/>
  </si>
  <si>
    <t>NKAAEE96DAB5</t>
    <phoneticPr fontId="8" type="noConversion"/>
  </si>
  <si>
    <t>7X4EH05630G6</t>
    <phoneticPr fontId="8" type="noConversion"/>
  </si>
  <si>
    <t>7X4EH05897D0</t>
    <phoneticPr fontId="8" type="noConversion"/>
  </si>
  <si>
    <t>7X4EL07303C7</t>
    <phoneticPr fontId="8" type="noConversion"/>
  </si>
  <si>
    <t>7X4EH05880F0</t>
    <phoneticPr fontId="8" type="noConversion"/>
  </si>
  <si>
    <t>7X4EH05883D1</t>
    <phoneticPr fontId="8" type="noConversion"/>
  </si>
  <si>
    <t>7X4HL05776F1</t>
    <phoneticPr fontId="8" type="noConversion"/>
  </si>
  <si>
    <t>7X4HH11449H2</t>
    <phoneticPr fontId="8" type="noConversion"/>
  </si>
  <si>
    <t>7X4EL07479F2</t>
    <phoneticPr fontId="8" type="noConversion"/>
  </si>
  <si>
    <t>7X4EH05872B3</t>
    <phoneticPr fontId="8" type="noConversion"/>
  </si>
  <si>
    <t>7X4EH05896D5</t>
    <phoneticPr fontId="8" type="noConversion"/>
  </si>
  <si>
    <t>7X4EH05876G2</t>
    <phoneticPr fontId="8" type="noConversion"/>
  </si>
  <si>
    <t>7X4EL07304C2</t>
    <phoneticPr fontId="8" type="noConversion"/>
  </si>
  <si>
    <t>7X4EH05874A1</t>
    <phoneticPr fontId="8" type="noConversion"/>
  </si>
  <si>
    <t>低-2</t>
    <phoneticPr fontId="8" type="noConversion"/>
  </si>
  <si>
    <t>NKAAE33424G2</t>
    <phoneticPr fontId="8" type="noConversion"/>
  </si>
  <si>
    <t>低-3</t>
    <phoneticPr fontId="8" type="noConversion"/>
  </si>
  <si>
    <t>低-4</t>
    <phoneticPr fontId="8" type="noConversion"/>
  </si>
  <si>
    <t>NKAAEED981B1</t>
    <phoneticPr fontId="8" type="noConversion"/>
  </si>
  <si>
    <t>NKAAEED3FED6</t>
    <phoneticPr fontId="8" type="noConversion"/>
  </si>
  <si>
    <t>NKAAEEFA78A4</t>
    <phoneticPr fontId="8" type="noConversion"/>
  </si>
  <si>
    <t>NKAAEE96D8H2</t>
    <phoneticPr fontId="8" type="noConversion"/>
  </si>
  <si>
    <t>NKAAEEFA75C3</t>
    <phoneticPr fontId="8" type="noConversion"/>
  </si>
  <si>
    <t>NKAAEEFA6EE6</t>
    <phoneticPr fontId="8" type="noConversion"/>
  </si>
  <si>
    <t>中-2</t>
    <phoneticPr fontId="8" type="noConversion"/>
  </si>
  <si>
    <t>中-3</t>
    <phoneticPr fontId="8" type="noConversion"/>
  </si>
  <si>
    <t>中-4</t>
    <phoneticPr fontId="8" type="noConversion"/>
  </si>
  <si>
    <t>低</t>
  </si>
  <si>
    <t>中</t>
  </si>
  <si>
    <r>
      <t xml:space="preserve">新片（從未上過 AOI）以 DUC 關在 AOI-2、AOI-1 各量 1 次，分別填 D、E 欄。依兩台平均值判定綜合分級：低 50~150、中 250~600、高 </t>
    </r>
    <r>
      <rPr>
        <sz val="9"/>
        <color rgb="FF595959"/>
        <rFont val="Cambria Math"/>
        <family val="1"/>
      </rPr>
      <t>≥</t>
    </r>
    <r>
      <rPr>
        <sz val="9"/>
        <color rgb="FF595959"/>
        <rFont val="Microsoft JhengHei"/>
        <family val="2"/>
        <charset val="136"/>
      </rPr>
      <t xml:space="preserve">800；兩台差異 </t>
    </r>
    <r>
      <rPr>
        <sz val="9"/>
        <color rgb="FF595959"/>
        <rFont val="Cambria Math"/>
        <family val="1"/>
      </rPr>
      <t>≥</t>
    </r>
    <r>
      <rPr>
        <sz val="9"/>
        <color rgb="FF595959"/>
        <rFont val="Microsoft JhengHei"/>
        <family val="2"/>
        <charset val="136"/>
      </rPr>
      <t>10% 時該列標紅，照常記錄、不重量。每級選 4 片，依平均值排序後 第1、4片→G1（AOI-1 先吹），第2、3片→G2（AOI-2 先吹）。</t>
    </r>
    <phoneticPr fontId="8" type="noConversion"/>
  </si>
  <si>
    <t>高</t>
  </si>
  <si>
    <t>DUC開
AOI-2①</t>
    <phoneticPr fontId="8" type="noConversion"/>
  </si>
  <si>
    <t>DUC關
AOI-1①</t>
    <phoneticPr fontId="8" type="noConversion"/>
  </si>
  <si>
    <t xml:space="preserve">DUC開
第3趟
</t>
    <phoneticPr fontId="8" type="noConversion"/>
  </si>
  <si>
    <t>第3趟
機台</t>
    <phoneticPr fontId="8" type="noConversion"/>
  </si>
  <si>
    <t>AOI-1</t>
    <phoneticPr fontId="8" type="noConversion"/>
  </si>
  <si>
    <t>AOI-2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</si>
</sst>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+0.0%;\-0.0%"/>
    <numFmt numFmtId="177" formatCode="0.0%"/>
    <numFmt numFmtId="178" formatCode="0.0"/>
  </numFmts>
  <fonts count="15">
    <font>
      <sz val="11"/>
      <color theme="1"/>
      <name val="新細明體"/>
      <family val="2"/>
      <scheme val="minor"/>
    </font>
    <font>
      <sz val="15"/>
      <color rgb="FFFFFFFF"/>
      <name val="Microsoft JhengHei"/>
      <family val="2"/>
      <charset val="136"/>
    </font>
    <font>
      <sz val="9"/>
      <color rgb="FF595959"/>
      <name val="Microsoft JhengHei"/>
      <family val="2"/>
      <charset val="136"/>
    </font>
    <font>
      <b/>
      <sz val="12"/>
      <color rgb="FF1F3864"/>
      <name val="Microsoft JhengHei"/>
      <family val="2"/>
      <charset val="136"/>
    </font>
    <font>
      <sz val="11"/>
      <color rgb="FFFFFFFF"/>
      <name val="Microsoft JhengHei"/>
      <family val="2"/>
      <charset val="136"/>
    </font>
    <font>
      <sz val="10"/>
      <color rgb="FFFFFFFF"/>
      <name val="Microsoft JhengHei"/>
      <family val="2"/>
      <charset val="136"/>
    </font>
    <font>
      <b/>
      <sz val="10"/>
      <name val="Microsoft JhengHei"/>
      <family val="2"/>
      <charset val="136"/>
    </font>
    <font>
      <sz val="10"/>
      <name val="Microsoft JhengHei"/>
      <family val="2"/>
      <charset val="136"/>
    </font>
    <font>
      <sz val="9"/>
      <name val="新細明體"/>
      <family val="3"/>
      <charset val="136"/>
      <scheme val="minor"/>
    </font>
    <font>
      <b/>
      <sz val="10"/>
      <color theme="1"/>
      <name val="Microsoft JhengHei"/>
      <family val="2"/>
      <charset val="136"/>
    </font>
    <font>
      <sz val="10"/>
      <color rgb="FF0000FF"/>
      <name val="Microsoft JhengHei"/>
      <family val="2"/>
      <charset val="136"/>
    </font>
    <font>
      <sz val="10"/>
      <color rgb="FF008000"/>
      <name val="Microsoft JhengHei"/>
      <family val="2"/>
      <charset val="136"/>
    </font>
    <font>
      <sz val="10"/>
      <color rgb="FF006000"/>
      <name val="Microsoft JhengHei"/>
      <family val="2"/>
      <charset val="136"/>
    </font>
    <font>
      <sz val="9"/>
      <color rgb="FF595959"/>
      <name val="Cambria Math"/>
      <family val="1"/>
    </font>
    <font>
      <sz val="11"/>
      <name val="新細明體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2E5B9A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FFFDE7"/>
      </patternFill>
    </fill>
    <fill>
      <patternFill patternType="solid">
        <fgColor rgb="FFFFFDE7"/>
        <bgColor indexed="64"/>
      </patternFill>
    </fill>
    <fill>
      <patternFill patternType="solid">
        <fgColor rgb="FFCCC0DA"/>
        <bgColor indexed="64"/>
      </patternFill>
    </fill>
  </fills>
  <borders count="4">
    <border>
      <left/>
      <right/>
      <top/>
      <bottom/>
      <diagonal/>
    </border>
    <border>
      <left style="thin">
        <color rgb="FF9BA6B5"/>
      </left>
      <right style="thin">
        <color rgb="FF9BA6B5"/>
      </right>
      <top style="thin">
        <color rgb="FF9BA6B5"/>
      </top>
      <bottom style="thin">
        <color rgb="FF9BA6B5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9BA6B5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9" fillId="0" borderId="2" xfId="0" applyFont="1" applyBorder="1"/>
    <xf numFmtId="9" fontId="10" fillId="8" borderId="2" xfId="0" applyNumberFormat="1" applyFont="1" applyFill="1" applyBorder="1"/>
    <xf numFmtId="1" fontId="7" fillId="0" borderId="1" xfId="0" applyNumberFormat="1" applyFont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176" fontId="7" fillId="8" borderId="1" xfId="0" applyNumberFormat="1" applyFont="1" applyFill="1" applyBorder="1" applyAlignment="1">
      <alignment horizontal="center" vertical="center" wrapText="1"/>
    </xf>
    <xf numFmtId="177" fontId="7" fillId="8" borderId="1" xfId="0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176" fontId="7" fillId="9" borderId="1" xfId="0" applyNumberFormat="1" applyFont="1" applyFill="1" applyBorder="1" applyAlignment="1">
      <alignment horizontal="center" vertical="center" wrapText="1"/>
    </xf>
    <xf numFmtId="177" fontId="7" fillId="9" borderId="1" xfId="0" applyNumberFormat="1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178" fontId="7" fillId="8" borderId="1" xfId="0" applyNumberFormat="1" applyFont="1" applyFill="1" applyBorder="1" applyAlignment="1">
      <alignment horizontal="center" vertical="center" wrapText="1"/>
    </xf>
    <xf numFmtId="178" fontId="7" fillId="9" borderId="1" xfId="0" applyNumberFormat="1" applyFont="1" applyFill="1" applyBorder="1" applyAlignment="1">
      <alignment horizontal="center" vertical="center" wrapText="1"/>
    </xf>
    <xf numFmtId="178" fontId="7" fillId="0" borderId="1" xfId="0" applyNumberFormat="1" applyFont="1" applyBorder="1" applyAlignment="1">
      <alignment horizontal="center" vertical="center" wrapText="1"/>
    </xf>
    <xf numFmtId="0" fontId="14" fillId="0" borderId="0" xfId="0" applyFont="1"/>
    <xf numFmtId="0" fontId="2" fillId="0" borderId="0" xfId="0" applyFont="1" applyAlignment="1">
      <alignment horizontal="left" vertical="center" wrapText="1"/>
    </xf>
    <xf numFmtId="0" fontId="0" fillId="0" borderId="0" xfId="0"/>
    <xf numFmtId="177" fontId="6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6" fillId="5" borderId="1" xfId="0" applyFont="1" applyFill="1" applyBorder="1" applyAlignment="1">
      <alignment horizontal="left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1">
    <cellStyle name="一般" xfId="0" builtinId="0"/>
  </cellStyles>
  <dxfs count="1">
    <dxf>
      <font>
        <b/>
        <i val="0"/>
        <color rgb="FFC00000"/>
      </font>
      <fill>
        <patternFill patternType="solid">
          <fgColor indexed="64"/>
          <bgColor rgb="FFF8CBAD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242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BC8A462-1C25-4977-B27D-E9B162DF46A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bcfc5ed-bd2f-4b61-b3d8-af9523a4487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opLeftCell="A11" workbookViewId="0">
      <selection activeCell="I17" sqref="I17"/>
    </sheetView>
  </sheetViews>
  <sheetFormatPr defaultRowHeight="15.75"/>
  <cols>
    <col min="1" max="1" width="2.5703125" customWidth="1"/>
    <col min="2" max="2" width="18" customWidth="1"/>
    <col min="3" max="6" width="22" customWidth="1"/>
  </cols>
  <sheetData>
    <row r="1" spans="1:6" ht="27.95" customHeight="1">
      <c r="A1" s="39" t="s">
        <v>0</v>
      </c>
      <c r="B1" s="32"/>
      <c r="C1" s="32"/>
      <c r="D1" s="32"/>
      <c r="E1" s="32"/>
      <c r="F1" s="32"/>
    </row>
    <row r="2" spans="1:6" ht="30" customHeight="1">
      <c r="A2" s="31" t="s">
        <v>1</v>
      </c>
      <c r="B2" s="32"/>
      <c r="C2" s="32"/>
      <c r="D2" s="32"/>
      <c r="E2" s="32"/>
      <c r="F2" s="32"/>
    </row>
    <row r="3" spans="1:6" ht="39.950000000000003" customHeight="1">
      <c r="A3" s="45" t="s">
        <v>91</v>
      </c>
      <c r="B3" s="32"/>
      <c r="C3" s="32"/>
      <c r="D3" s="32"/>
      <c r="E3" s="32"/>
      <c r="F3" s="32"/>
    </row>
    <row r="4" spans="1:6" ht="20.100000000000001" customHeight="1">
      <c r="A4" s="43" t="s">
        <v>2</v>
      </c>
      <c r="B4" s="32"/>
      <c r="C4" s="32"/>
      <c r="D4" s="32"/>
      <c r="E4" s="32"/>
      <c r="F4" s="32"/>
    </row>
    <row r="5" spans="1:6">
      <c r="B5" s="1" t="s">
        <v>3</v>
      </c>
      <c r="C5" s="1" t="s">
        <v>4</v>
      </c>
      <c r="D5" s="1" t="s">
        <v>5</v>
      </c>
      <c r="E5" s="44"/>
      <c r="F5" s="32"/>
    </row>
    <row r="6" spans="1:6" ht="39.950000000000003" customHeight="1">
      <c r="B6" s="2" t="s">
        <v>6</v>
      </c>
      <c r="C6" s="3" t="s">
        <v>7</v>
      </c>
      <c r="D6" s="40" t="s">
        <v>8</v>
      </c>
      <c r="E6" s="32"/>
      <c r="F6" s="32"/>
    </row>
    <row r="7" spans="1:6" ht="39.950000000000003" customHeight="1">
      <c r="B7" s="2" t="s">
        <v>9</v>
      </c>
      <c r="C7" s="3" t="s">
        <v>10</v>
      </c>
      <c r="D7" s="40" t="s">
        <v>11</v>
      </c>
      <c r="E7" s="32"/>
      <c r="F7" s="32"/>
    </row>
    <row r="8" spans="1:6" ht="39.950000000000003" customHeight="1">
      <c r="B8" s="2" t="s">
        <v>12</v>
      </c>
      <c r="C8" s="3" t="s">
        <v>13</v>
      </c>
      <c r="D8" s="40" t="s">
        <v>14</v>
      </c>
      <c r="E8" s="32"/>
      <c r="F8" s="32"/>
    </row>
    <row r="9" spans="1:6" ht="20.100000000000001" customHeight="1">
      <c r="A9" s="43" t="s">
        <v>75</v>
      </c>
      <c r="B9" s="32"/>
      <c r="C9" s="32"/>
      <c r="D9" s="32"/>
      <c r="E9" s="32"/>
      <c r="F9" s="32"/>
    </row>
    <row r="10" spans="1:6"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</row>
    <row r="11" spans="1:6" ht="48" customHeight="1">
      <c r="B11" s="4" t="s">
        <v>76</v>
      </c>
      <c r="C11" s="3" t="s">
        <v>20</v>
      </c>
      <c r="D11" s="3" t="s">
        <v>21</v>
      </c>
      <c r="E11" s="3" t="s">
        <v>22</v>
      </c>
      <c r="F11" s="3" t="s">
        <v>23</v>
      </c>
    </row>
    <row r="12" spans="1:6" ht="33.950000000000003" customHeight="1">
      <c r="B12" s="42" t="s">
        <v>77</v>
      </c>
      <c r="C12" s="32"/>
      <c r="D12" s="32"/>
      <c r="E12" s="32"/>
      <c r="F12" s="32"/>
    </row>
    <row r="13" spans="1:6" ht="20.100000000000001" customHeight="1">
      <c r="A13" s="43" t="s">
        <v>78</v>
      </c>
      <c r="B13" s="32"/>
      <c r="C13" s="32"/>
      <c r="D13" s="32"/>
      <c r="E13" s="32"/>
      <c r="F13" s="32"/>
    </row>
    <row r="14" spans="1:6" ht="36" customHeight="1">
      <c r="B14" s="2" t="s">
        <v>24</v>
      </c>
      <c r="C14" s="40" t="s">
        <v>89</v>
      </c>
      <c r="D14" s="32"/>
      <c r="E14" s="32"/>
      <c r="F14" s="32"/>
    </row>
    <row r="15" spans="1:6" ht="36" customHeight="1">
      <c r="B15" s="2" t="s">
        <v>25</v>
      </c>
      <c r="C15" s="40" t="s">
        <v>88</v>
      </c>
      <c r="D15" s="32"/>
      <c r="E15" s="32"/>
      <c r="F15" s="32"/>
    </row>
    <row r="16" spans="1:6" ht="36" customHeight="1">
      <c r="B16" s="2" t="s">
        <v>26</v>
      </c>
      <c r="C16" s="40" t="s">
        <v>90</v>
      </c>
      <c r="D16" s="32"/>
      <c r="E16" s="32"/>
      <c r="F16" s="32"/>
    </row>
    <row r="17" spans="1:6" ht="36" customHeight="1">
      <c r="B17" s="2" t="s">
        <v>27</v>
      </c>
      <c r="C17" s="40" t="s">
        <v>108</v>
      </c>
      <c r="D17" s="32"/>
      <c r="E17" s="32"/>
      <c r="F17" s="32"/>
    </row>
    <row r="18" spans="1:6" ht="36" customHeight="1">
      <c r="B18" s="2" t="s">
        <v>28</v>
      </c>
      <c r="C18" s="40" t="s">
        <v>109</v>
      </c>
      <c r="D18" s="32"/>
      <c r="E18" s="32"/>
      <c r="F18" s="32"/>
    </row>
    <row r="19" spans="1:6" ht="20.100000000000001" customHeight="1">
      <c r="A19" s="43" t="s">
        <v>29</v>
      </c>
      <c r="B19" s="32"/>
      <c r="C19" s="32"/>
      <c r="D19" s="32"/>
      <c r="E19" s="32"/>
      <c r="F19" s="32"/>
    </row>
    <row r="20" spans="1:6">
      <c r="B20" s="1" t="s">
        <v>30</v>
      </c>
      <c r="C20" s="1" t="s">
        <v>31</v>
      </c>
      <c r="D20" s="1" t="s">
        <v>32</v>
      </c>
      <c r="E20" s="1" t="s">
        <v>33</v>
      </c>
      <c r="F20" s="44"/>
    </row>
    <row r="21" spans="1:6" ht="27">
      <c r="B21" s="2" t="s">
        <v>35</v>
      </c>
      <c r="C21" s="3" t="s">
        <v>36</v>
      </c>
      <c r="D21" s="5" t="s">
        <v>37</v>
      </c>
      <c r="E21" s="6" t="s">
        <v>34</v>
      </c>
    </row>
    <row r="22" spans="1:6" ht="27">
      <c r="B22" s="2" t="s">
        <v>38</v>
      </c>
      <c r="C22" s="3" t="s">
        <v>39</v>
      </c>
      <c r="D22" s="5" t="s">
        <v>40</v>
      </c>
      <c r="E22" s="6" t="s">
        <v>41</v>
      </c>
    </row>
    <row r="23" spans="1:6" ht="27">
      <c r="B23" s="2" t="s">
        <v>42</v>
      </c>
      <c r="C23" s="3" t="s">
        <v>43</v>
      </c>
      <c r="D23" s="5" t="s">
        <v>44</v>
      </c>
      <c r="E23" s="6" t="s">
        <v>45</v>
      </c>
    </row>
    <row r="24" spans="1:6" ht="21.95" customHeight="1">
      <c r="B24" s="42" t="s">
        <v>79</v>
      </c>
      <c r="C24" s="32"/>
      <c r="D24" s="32"/>
      <c r="E24" s="32"/>
      <c r="F24" s="32"/>
    </row>
    <row r="25" spans="1:6" ht="20.100000000000001" customHeight="1">
      <c r="A25" s="43" t="s">
        <v>46</v>
      </c>
      <c r="B25" s="32"/>
      <c r="C25" s="32"/>
      <c r="D25" s="32"/>
      <c r="E25" s="32"/>
      <c r="F25" s="32"/>
    </row>
    <row r="26" spans="1:6" ht="32.1" customHeight="1">
      <c r="B26" s="41" t="s">
        <v>47</v>
      </c>
      <c r="C26" s="32"/>
      <c r="D26" s="32"/>
      <c r="E26" s="32"/>
      <c r="F26" s="32"/>
    </row>
    <row r="27" spans="1:6" ht="32.1" customHeight="1">
      <c r="B27" s="41" t="s">
        <v>48</v>
      </c>
      <c r="C27" s="32"/>
      <c r="D27" s="32"/>
      <c r="E27" s="32"/>
      <c r="F27" s="32"/>
    </row>
    <row r="28" spans="1:6" ht="32.1" customHeight="1">
      <c r="B28" s="41" t="s">
        <v>92</v>
      </c>
      <c r="C28" s="32"/>
      <c r="D28" s="32"/>
      <c r="E28" s="32"/>
      <c r="F28" s="32"/>
    </row>
    <row r="29" spans="1:6" ht="32.1" customHeight="1">
      <c r="B29" s="41" t="s">
        <v>93</v>
      </c>
      <c r="C29" s="32"/>
      <c r="D29" s="32"/>
      <c r="E29" s="32"/>
      <c r="F29" s="32"/>
    </row>
    <row r="30" spans="1:6" ht="32.1" customHeight="1">
      <c r="B30" s="41" t="s">
        <v>94</v>
      </c>
      <c r="C30" s="32"/>
      <c r="D30" s="32"/>
      <c r="E30" s="32"/>
      <c r="F30" s="32"/>
    </row>
    <row r="31" spans="1:6" ht="32.1" customHeight="1">
      <c r="B31" s="41" t="s">
        <v>49</v>
      </c>
      <c r="C31" s="32"/>
      <c r="D31" s="32"/>
      <c r="E31" s="32"/>
      <c r="F31" s="32"/>
    </row>
  </sheetData>
  <mergeCells count="26">
    <mergeCell ref="B31:F31"/>
    <mergeCell ref="C18:F18"/>
    <mergeCell ref="A19:F19"/>
    <mergeCell ref="A9:F9"/>
    <mergeCell ref="B12:F12"/>
    <mergeCell ref="B30:F30"/>
    <mergeCell ref="A13:F13"/>
    <mergeCell ref="F20"/>
    <mergeCell ref="B29:F29"/>
    <mergeCell ref="C16:F16"/>
    <mergeCell ref="B28:F28"/>
    <mergeCell ref="A25:F25"/>
    <mergeCell ref="C15:F15"/>
    <mergeCell ref="C14:F14"/>
    <mergeCell ref="A1:F1"/>
    <mergeCell ref="C17:F17"/>
    <mergeCell ref="B27:F27"/>
    <mergeCell ref="B24:F24"/>
    <mergeCell ref="B26:F26"/>
    <mergeCell ref="A4:F4"/>
    <mergeCell ref="D8:F8"/>
    <mergeCell ref="D7:F7"/>
    <mergeCell ref="E5:F5"/>
    <mergeCell ref="D6:F6"/>
    <mergeCell ref="A3:F3"/>
    <mergeCell ref="A2:F2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0"/>
  <sheetViews>
    <sheetView workbookViewId="0">
      <selection activeCell="G45" sqref="G45"/>
    </sheetView>
  </sheetViews>
  <sheetFormatPr defaultRowHeight="15.75"/>
  <cols>
    <col min="1" max="1" width="2.5703125" customWidth="1"/>
    <col min="2" max="2" width="5" customWidth="1"/>
    <col min="3" max="3" width="18" customWidth="1"/>
    <col min="4" max="10" width="13.28515625" customWidth="1"/>
    <col min="11" max="11" width="9" customWidth="1"/>
    <col min="12" max="12" width="22" customWidth="1"/>
    <col min="14" max="14" width="15.28515625" customWidth="1"/>
  </cols>
  <sheetData>
    <row r="1" spans="1:15" ht="26.1" customHeight="1">
      <c r="A1" s="39" t="s">
        <v>95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5" ht="27.95" customHeight="1">
      <c r="A2" s="31" t="s">
        <v>176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5" ht="30" customHeight="1">
      <c r="B3" s="1" t="s">
        <v>50</v>
      </c>
      <c r="C3" s="1" t="s">
        <v>51</v>
      </c>
      <c r="D3" s="1" t="s">
        <v>80</v>
      </c>
      <c r="E3" s="1" t="s">
        <v>113</v>
      </c>
      <c r="F3" s="1" t="s">
        <v>81</v>
      </c>
      <c r="G3" s="1" t="s">
        <v>82</v>
      </c>
      <c r="H3" s="1" t="s">
        <v>83</v>
      </c>
      <c r="I3" s="1" t="s">
        <v>84</v>
      </c>
      <c r="J3" s="1" t="s">
        <v>85</v>
      </c>
      <c r="K3" s="1" t="s">
        <v>53</v>
      </c>
      <c r="L3" s="1" t="s">
        <v>54</v>
      </c>
      <c r="N3" s="14" t="s">
        <v>86</v>
      </c>
      <c r="O3" s="15">
        <v>0.1</v>
      </c>
    </row>
    <row r="4" spans="1:15">
      <c r="B4" s="5">
        <v>1</v>
      </c>
      <c r="C4" s="7" t="s">
        <v>114</v>
      </c>
      <c r="D4" s="7"/>
      <c r="E4" s="7">
        <v>603</v>
      </c>
      <c r="F4" s="5" t="str">
        <f>IF(D4="","",IF(D4&gt;=800,"高",IF(D4&gt;=250,IF(D4&lt;=600,"中","—"),IF(D4&gt;=50,IF(D4&lt;=150,"低","—"),"—"))))</f>
        <v/>
      </c>
      <c r="G4" s="5" t="str">
        <f>IF(E4="","",IF(E4&gt;=800,"高",IF(E4&gt;=250,IF(E4&lt;=600,"中","—"),IF(E4&gt;=50,IF(E4&lt;=150,"低","—"),"—"))))</f>
        <v>—</v>
      </c>
      <c r="H4" s="16" t="str">
        <f>IF(OR(D4="",E4=""),"",AVERAGE(D4,E4))</f>
        <v/>
      </c>
      <c r="I4" s="11" t="str">
        <f>IF(OR(H4="",H4=0),"",ABS(D4-E4)/H4)</f>
        <v/>
      </c>
      <c r="J4" s="5" t="str">
        <f>IF(H4="","",IF(H4&gt;=800,"高",IF(H4&gt;=250,IF(H4&lt;=600,"中","—"),IF(H4&gt;=50,IF(H4&lt;=150,"低","—"),"—"))))</f>
        <v/>
      </c>
      <c r="K4" s="7" t="s">
        <v>133</v>
      </c>
      <c r="L4" s="10" t="s">
        <v>173</v>
      </c>
      <c r="N4" s="13" t="s">
        <v>87</v>
      </c>
    </row>
    <row r="5" spans="1:15">
      <c r="B5" s="5">
        <v>2</v>
      </c>
      <c r="C5" s="7" t="s">
        <v>115</v>
      </c>
      <c r="D5" s="7"/>
      <c r="E5" s="7">
        <v>839</v>
      </c>
      <c r="F5" s="5" t="str">
        <f t="shared" ref="F5:F33" si="0">IF(D5="","",IF(D5&gt;=800,"高",IF(D5&gt;=250,IF(D5&lt;=600,"中","—"),IF(D5&gt;=50,IF(D5&lt;=150,"低","—"),"—"))))</f>
        <v/>
      </c>
      <c r="G5" s="5" t="str">
        <f t="shared" ref="G5:G33" si="1">IF(E5="","",IF(E5&gt;=800,"高",IF(E5&gt;=250,IF(E5&lt;=600,"中","—"),IF(E5&gt;=50,IF(E5&lt;=150,"低","—"),"—"))))</f>
        <v>高</v>
      </c>
      <c r="H5" s="16" t="str">
        <f t="shared" ref="H5:H33" si="2">IF(OR(D5="",E5=""),"",AVERAGE(D5,E5))</f>
        <v/>
      </c>
      <c r="I5" s="11" t="str">
        <f t="shared" ref="I5:I33" si="3">IF(OR(H5="",H5=0),"",ABS(D5-E5)/H5)</f>
        <v/>
      </c>
      <c r="J5" s="5" t="str">
        <f t="shared" ref="J5:J33" si="4">IF(H5="","",IF(H5&gt;=800,"高",IF(H5&gt;=250,IF(H5&lt;=600,"中","—"),IF(H5&gt;=50,IF(H5&lt;=150,"低","—"),"—"))))</f>
        <v/>
      </c>
      <c r="K5" s="7" t="s">
        <v>130</v>
      </c>
      <c r="L5" s="10"/>
    </row>
    <row r="6" spans="1:15">
      <c r="B6" s="5">
        <v>3</v>
      </c>
      <c r="C6" s="7" t="s">
        <v>116</v>
      </c>
      <c r="D6" s="7"/>
      <c r="E6" s="7">
        <v>919</v>
      </c>
      <c r="F6" s="5" t="str">
        <f t="shared" si="0"/>
        <v/>
      </c>
      <c r="G6" s="5" t="str">
        <f t="shared" si="1"/>
        <v>高</v>
      </c>
      <c r="H6" s="16" t="str">
        <f t="shared" si="2"/>
        <v/>
      </c>
      <c r="I6" s="11" t="str">
        <f t="shared" si="3"/>
        <v/>
      </c>
      <c r="J6" s="5" t="str">
        <f t="shared" si="4"/>
        <v/>
      </c>
      <c r="K6" s="7" t="s">
        <v>130</v>
      </c>
      <c r="L6" s="10"/>
    </row>
    <row r="7" spans="1:15">
      <c r="B7" s="5">
        <v>4</v>
      </c>
      <c r="C7" s="7" t="s">
        <v>120</v>
      </c>
      <c r="D7" s="7"/>
      <c r="E7" s="7">
        <v>582</v>
      </c>
      <c r="F7" s="5" t="str">
        <f t="shared" si="0"/>
        <v/>
      </c>
      <c r="G7" s="5" t="str">
        <f t="shared" si="1"/>
        <v>中</v>
      </c>
      <c r="H7" s="16" t="str">
        <f t="shared" si="2"/>
        <v/>
      </c>
      <c r="I7" s="11" t="str">
        <f t="shared" si="3"/>
        <v/>
      </c>
      <c r="J7" s="5" t="str">
        <f t="shared" si="4"/>
        <v/>
      </c>
      <c r="K7" s="7" t="s">
        <v>134</v>
      </c>
      <c r="L7" s="10" t="s">
        <v>172</v>
      </c>
    </row>
    <row r="8" spans="1:15">
      <c r="B8" s="5">
        <v>5</v>
      </c>
      <c r="C8" s="7" t="s">
        <v>121</v>
      </c>
      <c r="D8" s="7"/>
      <c r="E8" s="7">
        <v>602</v>
      </c>
      <c r="F8" s="5" t="str">
        <f t="shared" si="0"/>
        <v/>
      </c>
      <c r="G8" s="5" t="str">
        <f t="shared" si="1"/>
        <v>—</v>
      </c>
      <c r="H8" s="16" t="str">
        <f t="shared" si="2"/>
        <v/>
      </c>
      <c r="I8" s="11" t="str">
        <f t="shared" si="3"/>
        <v/>
      </c>
      <c r="J8" s="5" t="str">
        <f t="shared" si="4"/>
        <v/>
      </c>
      <c r="K8" s="7" t="s">
        <v>130</v>
      </c>
      <c r="L8" s="10"/>
    </row>
    <row r="9" spans="1:15">
      <c r="B9" s="5">
        <v>6</v>
      </c>
      <c r="C9" s="7" t="s">
        <v>122</v>
      </c>
      <c r="D9" s="7"/>
      <c r="E9" s="7">
        <v>947</v>
      </c>
      <c r="F9" s="5" t="str">
        <f t="shared" si="0"/>
        <v/>
      </c>
      <c r="G9" s="5" t="str">
        <f t="shared" si="1"/>
        <v>高</v>
      </c>
      <c r="H9" s="16" t="str">
        <f t="shared" si="2"/>
        <v/>
      </c>
      <c r="I9" s="11" t="str">
        <f t="shared" si="3"/>
        <v/>
      </c>
      <c r="J9" s="5" t="str">
        <f t="shared" si="4"/>
        <v/>
      </c>
      <c r="K9" s="7" t="s">
        <v>130</v>
      </c>
      <c r="L9" s="10"/>
    </row>
    <row r="10" spans="1:15">
      <c r="B10" s="5">
        <v>7</v>
      </c>
      <c r="C10" s="7" t="s">
        <v>123</v>
      </c>
      <c r="D10" s="7"/>
      <c r="E10" s="7">
        <v>887</v>
      </c>
      <c r="F10" s="5" t="str">
        <f t="shared" si="0"/>
        <v/>
      </c>
      <c r="G10" s="5" t="str">
        <f t="shared" si="1"/>
        <v>高</v>
      </c>
      <c r="H10" s="16" t="str">
        <f t="shared" si="2"/>
        <v/>
      </c>
      <c r="I10" s="11" t="str">
        <f t="shared" si="3"/>
        <v/>
      </c>
      <c r="J10" s="5" t="str">
        <f t="shared" si="4"/>
        <v/>
      </c>
      <c r="K10" s="7" t="s">
        <v>133</v>
      </c>
      <c r="L10" s="10" t="s">
        <v>119</v>
      </c>
    </row>
    <row r="11" spans="1:15">
      <c r="B11" s="5">
        <v>8</v>
      </c>
      <c r="C11" s="7" t="s">
        <v>124</v>
      </c>
      <c r="D11" s="7"/>
      <c r="E11" s="7">
        <v>1022</v>
      </c>
      <c r="F11" s="5" t="str">
        <f t="shared" si="0"/>
        <v/>
      </c>
      <c r="G11" s="5" t="str">
        <f t="shared" si="1"/>
        <v>高</v>
      </c>
      <c r="H11" s="16" t="str">
        <f t="shared" si="2"/>
        <v/>
      </c>
      <c r="I11" s="11" t="str">
        <f t="shared" si="3"/>
        <v/>
      </c>
      <c r="J11" s="5" t="str">
        <f t="shared" si="4"/>
        <v/>
      </c>
      <c r="K11" s="7" t="s">
        <v>134</v>
      </c>
      <c r="L11" s="10" t="s">
        <v>143</v>
      </c>
    </row>
    <row r="12" spans="1:15">
      <c r="B12" s="5">
        <v>9</v>
      </c>
      <c r="C12" s="7" t="s">
        <v>125</v>
      </c>
      <c r="D12" s="7"/>
      <c r="E12" s="7">
        <v>1637</v>
      </c>
      <c r="F12" s="5" t="str">
        <f t="shared" si="0"/>
        <v/>
      </c>
      <c r="G12" s="5" t="str">
        <f t="shared" si="1"/>
        <v>高</v>
      </c>
      <c r="H12" s="16" t="str">
        <f t="shared" si="2"/>
        <v/>
      </c>
      <c r="I12" s="11" t="str">
        <f t="shared" si="3"/>
        <v/>
      </c>
      <c r="J12" s="5" t="str">
        <f t="shared" si="4"/>
        <v/>
      </c>
      <c r="K12" s="7" t="s">
        <v>130</v>
      </c>
      <c r="L12" s="10"/>
    </row>
    <row r="13" spans="1:15">
      <c r="B13" s="5">
        <v>10</v>
      </c>
      <c r="C13" s="7" t="s">
        <v>126</v>
      </c>
      <c r="D13" s="7"/>
      <c r="E13" s="7">
        <v>1935</v>
      </c>
      <c r="F13" s="5" t="str">
        <f t="shared" si="0"/>
        <v/>
      </c>
      <c r="G13" s="5" t="str">
        <f t="shared" si="1"/>
        <v>高</v>
      </c>
      <c r="H13" s="16" t="str">
        <f t="shared" si="2"/>
        <v/>
      </c>
      <c r="I13" s="11" t="str">
        <f t="shared" si="3"/>
        <v/>
      </c>
      <c r="J13" s="5" t="str">
        <f t="shared" si="4"/>
        <v/>
      </c>
      <c r="K13" s="7" t="s">
        <v>130</v>
      </c>
      <c r="L13" s="10"/>
    </row>
    <row r="14" spans="1:15">
      <c r="B14" s="5">
        <v>11</v>
      </c>
      <c r="C14" s="7" t="s">
        <v>127</v>
      </c>
      <c r="D14" s="7"/>
      <c r="E14" s="7">
        <v>1082</v>
      </c>
      <c r="F14" s="5" t="str">
        <f t="shared" si="0"/>
        <v/>
      </c>
      <c r="G14" s="5" t="str">
        <f t="shared" si="1"/>
        <v>高</v>
      </c>
      <c r="H14" s="16" t="str">
        <f t="shared" si="2"/>
        <v/>
      </c>
      <c r="I14" s="11" t="str">
        <f t="shared" si="3"/>
        <v/>
      </c>
      <c r="J14" s="5" t="str">
        <f t="shared" si="4"/>
        <v/>
      </c>
      <c r="K14" s="7" t="s">
        <v>130</v>
      </c>
      <c r="L14" s="10"/>
    </row>
    <row r="15" spans="1:15">
      <c r="B15" s="5">
        <v>12</v>
      </c>
      <c r="C15" s="7" t="s">
        <v>128</v>
      </c>
      <c r="D15" s="7"/>
      <c r="E15" s="7">
        <v>930</v>
      </c>
      <c r="F15" s="5" t="str">
        <f t="shared" si="0"/>
        <v/>
      </c>
      <c r="G15" s="5" t="str">
        <f t="shared" si="1"/>
        <v>高</v>
      </c>
      <c r="H15" s="16" t="str">
        <f t="shared" si="2"/>
        <v/>
      </c>
      <c r="I15" s="11" t="str">
        <f t="shared" si="3"/>
        <v/>
      </c>
      <c r="J15" s="5" t="str">
        <f t="shared" si="4"/>
        <v/>
      </c>
      <c r="K15" s="7" t="s">
        <v>134</v>
      </c>
      <c r="L15" s="10" t="s">
        <v>142</v>
      </c>
    </row>
    <row r="16" spans="1:15">
      <c r="B16" s="5">
        <v>13</v>
      </c>
      <c r="C16" s="7" t="s">
        <v>129</v>
      </c>
      <c r="D16" s="7"/>
      <c r="E16" s="7">
        <v>1099</v>
      </c>
      <c r="F16" s="5" t="str">
        <f t="shared" si="0"/>
        <v/>
      </c>
      <c r="G16" s="5" t="str">
        <f t="shared" si="1"/>
        <v>高</v>
      </c>
      <c r="H16" s="16" t="str">
        <f t="shared" si="2"/>
        <v/>
      </c>
      <c r="I16" s="11" t="str">
        <f t="shared" si="3"/>
        <v/>
      </c>
      <c r="J16" s="5" t="str">
        <f t="shared" si="4"/>
        <v/>
      </c>
      <c r="K16" s="7" t="s">
        <v>130</v>
      </c>
      <c r="L16" s="10"/>
    </row>
    <row r="17" spans="2:12">
      <c r="B17" s="5">
        <v>14</v>
      </c>
      <c r="C17" s="7" t="s">
        <v>131</v>
      </c>
      <c r="D17" s="7"/>
      <c r="E17" s="7">
        <v>845</v>
      </c>
      <c r="F17" s="5" t="str">
        <f t="shared" si="0"/>
        <v/>
      </c>
      <c r="G17" s="5" t="str">
        <f t="shared" si="1"/>
        <v>高</v>
      </c>
      <c r="H17" s="16" t="str">
        <f t="shared" si="2"/>
        <v/>
      </c>
      <c r="I17" s="11" t="str">
        <f t="shared" si="3"/>
        <v/>
      </c>
      <c r="J17" s="5" t="str">
        <f t="shared" si="4"/>
        <v/>
      </c>
      <c r="K17" s="7" t="s">
        <v>130</v>
      </c>
      <c r="L17" s="10"/>
    </row>
    <row r="18" spans="2:12">
      <c r="B18" s="5">
        <v>15</v>
      </c>
      <c r="C18" s="7" t="s">
        <v>132</v>
      </c>
      <c r="D18" s="7"/>
      <c r="E18" s="7">
        <v>1081</v>
      </c>
      <c r="F18" s="5" t="str">
        <f t="shared" si="0"/>
        <v/>
      </c>
      <c r="G18" s="5" t="str">
        <f t="shared" si="1"/>
        <v>高</v>
      </c>
      <c r="H18" s="16" t="str">
        <f t="shared" si="2"/>
        <v/>
      </c>
      <c r="I18" s="11" t="str">
        <f t="shared" si="3"/>
        <v/>
      </c>
      <c r="J18" s="5" t="str">
        <f t="shared" si="4"/>
        <v/>
      </c>
      <c r="K18" s="7" t="s">
        <v>130</v>
      </c>
      <c r="L18" s="10"/>
    </row>
    <row r="19" spans="2:12">
      <c r="B19" s="5">
        <v>16</v>
      </c>
      <c r="C19" s="7" t="s">
        <v>135</v>
      </c>
      <c r="D19" s="7"/>
      <c r="E19" s="7">
        <v>1620</v>
      </c>
      <c r="F19" s="5" t="str">
        <f t="shared" si="0"/>
        <v/>
      </c>
      <c r="G19" s="5" t="str">
        <f>IF(E19="","",IF(E19&gt;=800,"高",IF(E19&gt;=250,IF(E19&lt;=600,"中","—"),IF(E19&gt;=50,IF(E19&lt;=150,"低","—"),"—"))))</f>
        <v>高</v>
      </c>
      <c r="H19" s="16" t="str">
        <f>IF(OR(D19="",E19=""),"",AVERAGE(D19,E19))</f>
        <v/>
      </c>
      <c r="I19" s="11" t="str">
        <f t="shared" si="3"/>
        <v/>
      </c>
      <c r="J19" s="5" t="str">
        <f t="shared" si="4"/>
        <v/>
      </c>
      <c r="K19" s="7" t="s">
        <v>130</v>
      </c>
      <c r="L19" s="10"/>
    </row>
    <row r="20" spans="2:12">
      <c r="B20" s="5">
        <v>17</v>
      </c>
      <c r="C20" s="7" t="s">
        <v>136</v>
      </c>
      <c r="D20" s="7"/>
      <c r="E20" s="7">
        <v>1513</v>
      </c>
      <c r="F20" s="5" t="str">
        <f t="shared" si="0"/>
        <v/>
      </c>
      <c r="G20" s="5" t="str">
        <f t="shared" si="1"/>
        <v>高</v>
      </c>
      <c r="H20" s="16" t="str">
        <f t="shared" si="2"/>
        <v/>
      </c>
      <c r="I20" s="11" t="str">
        <f t="shared" si="3"/>
        <v/>
      </c>
      <c r="J20" s="5" t="str">
        <f t="shared" si="4"/>
        <v/>
      </c>
      <c r="K20" s="7" t="s">
        <v>130</v>
      </c>
      <c r="L20" s="10"/>
    </row>
    <row r="21" spans="2:12">
      <c r="B21" s="5">
        <v>18</v>
      </c>
      <c r="C21" s="7" t="s">
        <v>137</v>
      </c>
      <c r="D21" s="7"/>
      <c r="E21" s="7">
        <v>1242</v>
      </c>
      <c r="F21" s="5" t="str">
        <f t="shared" si="0"/>
        <v/>
      </c>
      <c r="G21" s="5" t="str">
        <f t="shared" si="1"/>
        <v>高</v>
      </c>
      <c r="H21" s="16" t="str">
        <f t="shared" si="2"/>
        <v/>
      </c>
      <c r="I21" s="11" t="str">
        <f t="shared" si="3"/>
        <v/>
      </c>
      <c r="J21" s="5" t="str">
        <f t="shared" si="4"/>
        <v/>
      </c>
      <c r="K21" s="7" t="s">
        <v>130</v>
      </c>
      <c r="L21" s="10"/>
    </row>
    <row r="22" spans="2:12">
      <c r="B22" s="5">
        <v>19</v>
      </c>
      <c r="C22" s="7" t="s">
        <v>138</v>
      </c>
      <c r="D22" s="7"/>
      <c r="E22" s="7">
        <v>1039</v>
      </c>
      <c r="F22" s="5" t="str">
        <f t="shared" si="0"/>
        <v/>
      </c>
      <c r="G22" s="5" t="str">
        <f t="shared" si="1"/>
        <v>高</v>
      </c>
      <c r="H22" s="16" t="str">
        <f t="shared" si="2"/>
        <v/>
      </c>
      <c r="I22" s="11" t="str">
        <f t="shared" si="3"/>
        <v/>
      </c>
      <c r="J22" s="5" t="str">
        <f t="shared" si="4"/>
        <v/>
      </c>
      <c r="K22" s="7" t="s">
        <v>130</v>
      </c>
      <c r="L22" s="10"/>
    </row>
    <row r="23" spans="2:12">
      <c r="B23" s="5">
        <v>20</v>
      </c>
      <c r="C23" s="7" t="s">
        <v>139</v>
      </c>
      <c r="D23" s="7"/>
      <c r="E23" s="7">
        <v>1292</v>
      </c>
      <c r="F23" s="5" t="str">
        <f t="shared" si="0"/>
        <v/>
      </c>
      <c r="G23" s="5" t="str">
        <f t="shared" si="1"/>
        <v>高</v>
      </c>
      <c r="H23" s="16" t="str">
        <f t="shared" si="2"/>
        <v/>
      </c>
      <c r="I23" s="11" t="str">
        <f t="shared" si="3"/>
        <v/>
      </c>
      <c r="J23" s="5" t="str">
        <f t="shared" si="4"/>
        <v/>
      </c>
      <c r="K23" s="7" t="s">
        <v>130</v>
      </c>
      <c r="L23" s="10"/>
    </row>
    <row r="24" spans="2:12">
      <c r="B24" s="5">
        <v>21</v>
      </c>
      <c r="C24" s="7" t="s">
        <v>140</v>
      </c>
      <c r="D24" s="7"/>
      <c r="E24" s="7">
        <v>1984</v>
      </c>
      <c r="F24" s="5" t="str">
        <f t="shared" si="0"/>
        <v/>
      </c>
      <c r="G24" s="5" t="str">
        <f t="shared" si="1"/>
        <v>高</v>
      </c>
      <c r="H24" s="16" t="str">
        <f t="shared" si="2"/>
        <v/>
      </c>
      <c r="I24" s="11" t="str">
        <f t="shared" si="3"/>
        <v/>
      </c>
      <c r="J24" s="5" t="str">
        <f t="shared" si="4"/>
        <v/>
      </c>
      <c r="K24" s="7" t="s">
        <v>130</v>
      </c>
      <c r="L24" s="10"/>
    </row>
    <row r="25" spans="2:12">
      <c r="B25" s="5">
        <v>22</v>
      </c>
      <c r="C25" s="7" t="s">
        <v>141</v>
      </c>
      <c r="D25" s="7"/>
      <c r="E25" s="7">
        <v>1544</v>
      </c>
      <c r="F25" s="5" t="str">
        <f t="shared" si="0"/>
        <v/>
      </c>
      <c r="G25" s="5" t="str">
        <f t="shared" si="1"/>
        <v>高</v>
      </c>
      <c r="H25" s="16" t="str">
        <f t="shared" si="2"/>
        <v/>
      </c>
      <c r="I25" s="11" t="str">
        <f t="shared" si="3"/>
        <v/>
      </c>
      <c r="J25" s="5" t="str">
        <f t="shared" si="4"/>
        <v/>
      </c>
      <c r="K25" s="7" t="s">
        <v>130</v>
      </c>
      <c r="L25" s="10"/>
    </row>
    <row r="26" spans="2:12">
      <c r="B26" s="5">
        <v>23</v>
      </c>
      <c r="C26" s="7" t="s">
        <v>145</v>
      </c>
      <c r="D26" s="7"/>
      <c r="E26" s="7">
        <v>1661</v>
      </c>
      <c r="F26" s="5" t="str">
        <f t="shared" si="0"/>
        <v/>
      </c>
      <c r="G26" s="5" t="str">
        <f t="shared" si="1"/>
        <v>高</v>
      </c>
      <c r="H26" s="16" t="str">
        <f t="shared" si="2"/>
        <v/>
      </c>
      <c r="I26" s="11" t="str">
        <f t="shared" si="3"/>
        <v/>
      </c>
      <c r="J26" s="5" t="str">
        <f t="shared" si="4"/>
        <v/>
      </c>
      <c r="K26" s="7" t="s">
        <v>130</v>
      </c>
      <c r="L26" s="10"/>
    </row>
    <row r="27" spans="2:12">
      <c r="B27" s="5">
        <v>24</v>
      </c>
      <c r="C27" s="7" t="s">
        <v>146</v>
      </c>
      <c r="D27" s="7"/>
      <c r="E27" s="7">
        <v>1321</v>
      </c>
      <c r="F27" s="5" t="str">
        <f t="shared" si="0"/>
        <v/>
      </c>
      <c r="G27" s="5" t="str">
        <f t="shared" si="1"/>
        <v>高</v>
      </c>
      <c r="H27" s="16" t="str">
        <f t="shared" si="2"/>
        <v/>
      </c>
      <c r="I27" s="11" t="str">
        <f t="shared" si="3"/>
        <v/>
      </c>
      <c r="J27" s="5" t="str">
        <f t="shared" si="4"/>
        <v/>
      </c>
      <c r="K27" s="7" t="s">
        <v>130</v>
      </c>
      <c r="L27" s="10"/>
    </row>
    <row r="28" spans="2:12">
      <c r="B28" s="5">
        <v>25</v>
      </c>
      <c r="C28" s="7" t="s">
        <v>147</v>
      </c>
      <c r="D28" s="7"/>
      <c r="E28" s="7">
        <v>1035</v>
      </c>
      <c r="F28" s="5" t="str">
        <f t="shared" si="0"/>
        <v/>
      </c>
      <c r="G28" s="5" t="str">
        <f t="shared" si="1"/>
        <v>高</v>
      </c>
      <c r="H28" s="16" t="str">
        <f t="shared" si="2"/>
        <v/>
      </c>
      <c r="I28" s="11" t="str">
        <f t="shared" si="3"/>
        <v/>
      </c>
      <c r="J28" s="5" t="str">
        <f t="shared" si="4"/>
        <v/>
      </c>
      <c r="K28" s="7" t="s">
        <v>133</v>
      </c>
      <c r="L28" s="10" t="s">
        <v>144</v>
      </c>
    </row>
    <row r="29" spans="2:12">
      <c r="B29" s="5">
        <v>26</v>
      </c>
      <c r="C29" s="7" t="s">
        <v>148</v>
      </c>
      <c r="D29" s="7"/>
      <c r="E29" s="7">
        <v>48</v>
      </c>
      <c r="F29" s="5" t="str">
        <f t="shared" si="0"/>
        <v/>
      </c>
      <c r="G29" s="5" t="str">
        <f t="shared" si="1"/>
        <v>—</v>
      </c>
      <c r="H29" s="16" t="str">
        <f t="shared" si="2"/>
        <v/>
      </c>
      <c r="I29" s="11" t="str">
        <f t="shared" si="3"/>
        <v/>
      </c>
      <c r="J29" s="5" t="str">
        <f t="shared" si="4"/>
        <v/>
      </c>
      <c r="K29" s="7" t="s">
        <v>134</v>
      </c>
      <c r="L29" s="10" t="s">
        <v>161</v>
      </c>
    </row>
    <row r="30" spans="2:12">
      <c r="B30" s="5">
        <v>27</v>
      </c>
      <c r="C30" s="7" t="s">
        <v>149</v>
      </c>
      <c r="D30" s="7"/>
      <c r="E30" s="7">
        <v>105</v>
      </c>
      <c r="F30" s="5" t="str">
        <f t="shared" si="0"/>
        <v/>
      </c>
      <c r="G30" s="5" t="str">
        <f t="shared" si="1"/>
        <v>低</v>
      </c>
      <c r="H30" s="16" t="str">
        <f t="shared" si="2"/>
        <v/>
      </c>
      <c r="I30" s="11" t="str">
        <f t="shared" si="3"/>
        <v/>
      </c>
      <c r="J30" s="5" t="str">
        <f t="shared" si="4"/>
        <v/>
      </c>
      <c r="K30" s="7" t="s">
        <v>130</v>
      </c>
      <c r="L30" s="10"/>
    </row>
    <row r="31" spans="2:12">
      <c r="B31" s="5">
        <v>28</v>
      </c>
      <c r="C31" s="7" t="s">
        <v>150</v>
      </c>
      <c r="D31" s="7"/>
      <c r="E31" s="7">
        <v>200</v>
      </c>
      <c r="F31" s="5" t="str">
        <f t="shared" si="0"/>
        <v/>
      </c>
      <c r="G31" s="5" t="str">
        <f t="shared" si="1"/>
        <v>—</v>
      </c>
      <c r="H31" s="16" t="str">
        <f t="shared" si="2"/>
        <v/>
      </c>
      <c r="I31" s="11" t="str">
        <f t="shared" si="3"/>
        <v/>
      </c>
      <c r="J31" s="5" t="str">
        <f t="shared" si="4"/>
        <v/>
      </c>
      <c r="K31" s="7" t="s">
        <v>130</v>
      </c>
      <c r="L31" s="10"/>
    </row>
    <row r="32" spans="2:12">
      <c r="B32" s="5">
        <v>29</v>
      </c>
      <c r="C32" s="7" t="s">
        <v>151</v>
      </c>
      <c r="D32" s="7"/>
      <c r="E32" s="7">
        <v>131</v>
      </c>
      <c r="F32" s="5" t="str">
        <f t="shared" si="0"/>
        <v/>
      </c>
      <c r="G32" s="5" t="str">
        <f t="shared" si="1"/>
        <v>低</v>
      </c>
      <c r="H32" s="16" t="str">
        <f t="shared" si="2"/>
        <v/>
      </c>
      <c r="I32" s="11" t="str">
        <f t="shared" si="3"/>
        <v/>
      </c>
      <c r="J32" s="5" t="str">
        <f t="shared" si="4"/>
        <v/>
      </c>
      <c r="K32" s="7" t="s">
        <v>133</v>
      </c>
      <c r="L32" s="10" t="s">
        <v>164</v>
      </c>
    </row>
    <row r="33" spans="2:12">
      <c r="B33" s="5">
        <v>30</v>
      </c>
      <c r="C33" s="7" t="s">
        <v>152</v>
      </c>
      <c r="D33" s="7"/>
      <c r="E33" s="7">
        <v>81</v>
      </c>
      <c r="F33" s="5" t="str">
        <f t="shared" si="0"/>
        <v/>
      </c>
      <c r="G33" s="5" t="str">
        <f t="shared" si="1"/>
        <v>低</v>
      </c>
      <c r="H33" s="16" t="str">
        <f t="shared" si="2"/>
        <v/>
      </c>
      <c r="I33" s="11" t="str">
        <f t="shared" si="3"/>
        <v/>
      </c>
      <c r="J33" s="5" t="str">
        <f t="shared" si="4"/>
        <v/>
      </c>
      <c r="K33" s="7" t="s">
        <v>130</v>
      </c>
      <c r="L33" s="10"/>
    </row>
    <row r="34" spans="2:12">
      <c r="B34" s="5">
        <v>31</v>
      </c>
      <c r="C34" s="7" t="s">
        <v>153</v>
      </c>
      <c r="D34" s="7"/>
      <c r="E34" s="7">
        <v>113</v>
      </c>
      <c r="F34" s="5" t="str">
        <f t="shared" ref="F34:F43" si="5">IF(D34="","",IF(D34&gt;=800,"高",IF(D34&gt;=250,IF(D34&lt;=600,"中","—"),IF(D34&gt;=50,IF(D34&lt;=150,"低","—"),"—"))))</f>
        <v/>
      </c>
      <c r="G34" s="5" t="str">
        <f t="shared" ref="G34:G43" si="6">IF(E34="","",IF(E34&gt;=800,"高",IF(E34&gt;=250,IF(E34&lt;=600,"中","—"),IF(E34&gt;=50,IF(E34&lt;=150,"低","—"),"—"))))</f>
        <v>低</v>
      </c>
      <c r="H34" s="16" t="str">
        <f t="shared" ref="H34:H43" si="7">IF(OR(D34="",E34=""),"",AVERAGE(D34,E34))</f>
        <v/>
      </c>
      <c r="I34" s="11" t="str">
        <f t="shared" ref="I34:I43" si="8">IF(OR(H34="",H34=0),"",ABS(D34-E34)/H34)</f>
        <v/>
      </c>
      <c r="J34" s="5" t="str">
        <f t="shared" ref="J34:J43" si="9">IF(H34="","",IF(H34&gt;=800,"高",IF(H34&gt;=250,IF(H34&lt;=600,"中","—"),IF(H34&gt;=50,IF(H34&lt;=150,"低","—"),"—"))))</f>
        <v/>
      </c>
      <c r="K34" s="7" t="s">
        <v>130</v>
      </c>
      <c r="L34" s="10"/>
    </row>
    <row r="35" spans="2:12">
      <c r="B35" s="5">
        <v>32</v>
      </c>
      <c r="C35" s="7" t="s">
        <v>154</v>
      </c>
      <c r="D35" s="7"/>
      <c r="E35" s="7">
        <v>3615</v>
      </c>
      <c r="F35" s="5" t="str">
        <f t="shared" si="5"/>
        <v/>
      </c>
      <c r="G35" s="5" t="str">
        <f t="shared" si="6"/>
        <v>高</v>
      </c>
      <c r="H35" s="16" t="str">
        <f t="shared" si="7"/>
        <v/>
      </c>
      <c r="I35" s="11" t="str">
        <f t="shared" si="8"/>
        <v/>
      </c>
      <c r="J35" s="5" t="str">
        <f t="shared" si="9"/>
        <v/>
      </c>
      <c r="K35" s="7" t="s">
        <v>130</v>
      </c>
      <c r="L35" s="10"/>
    </row>
    <row r="36" spans="2:12">
      <c r="B36" s="5">
        <v>33</v>
      </c>
      <c r="C36" s="7" t="s">
        <v>155</v>
      </c>
      <c r="D36" s="7"/>
      <c r="E36" s="7">
        <v>85</v>
      </c>
      <c r="F36" s="5" t="str">
        <f t="shared" si="5"/>
        <v/>
      </c>
      <c r="G36" s="5" t="str">
        <f t="shared" si="6"/>
        <v>低</v>
      </c>
      <c r="H36" s="16" t="str">
        <f t="shared" si="7"/>
        <v/>
      </c>
      <c r="I36" s="11" t="str">
        <f t="shared" si="8"/>
        <v/>
      </c>
      <c r="J36" s="5" t="str">
        <f t="shared" si="9"/>
        <v/>
      </c>
      <c r="K36" s="7" t="s">
        <v>134</v>
      </c>
      <c r="L36" s="10" t="s">
        <v>163</v>
      </c>
    </row>
    <row r="37" spans="2:12">
      <c r="B37" s="5">
        <v>34</v>
      </c>
      <c r="C37" s="7" t="s">
        <v>156</v>
      </c>
      <c r="D37" s="7"/>
      <c r="E37" s="7">
        <v>260</v>
      </c>
      <c r="F37" s="5" t="str">
        <f t="shared" si="5"/>
        <v/>
      </c>
      <c r="G37" s="5" t="str">
        <f t="shared" si="6"/>
        <v>中</v>
      </c>
      <c r="H37" s="16" t="str">
        <f t="shared" si="7"/>
        <v/>
      </c>
      <c r="I37" s="11" t="str">
        <f t="shared" si="8"/>
        <v/>
      </c>
      <c r="J37" s="5" t="str">
        <f t="shared" si="9"/>
        <v/>
      </c>
      <c r="K37" s="7" t="s">
        <v>133</v>
      </c>
      <c r="L37" s="10" t="s">
        <v>118</v>
      </c>
    </row>
    <row r="38" spans="2:12">
      <c r="B38" s="5">
        <v>35</v>
      </c>
      <c r="C38" s="7" t="s">
        <v>157</v>
      </c>
      <c r="D38" s="7"/>
      <c r="E38" s="7">
        <v>160</v>
      </c>
      <c r="F38" s="5" t="str">
        <f t="shared" si="5"/>
        <v/>
      </c>
      <c r="G38" s="5" t="str">
        <f t="shared" si="6"/>
        <v>—</v>
      </c>
      <c r="H38" s="16" t="str">
        <f t="shared" si="7"/>
        <v/>
      </c>
      <c r="I38" s="11" t="str">
        <f t="shared" si="8"/>
        <v/>
      </c>
      <c r="J38" s="5" t="str">
        <f t="shared" si="9"/>
        <v/>
      </c>
      <c r="K38" s="7" t="s">
        <v>130</v>
      </c>
      <c r="L38" s="10"/>
    </row>
    <row r="39" spans="2:12">
      <c r="B39" s="5">
        <v>36</v>
      </c>
      <c r="C39" s="7" t="s">
        <v>158</v>
      </c>
      <c r="D39" s="7"/>
      <c r="E39" s="7">
        <v>104</v>
      </c>
      <c r="F39" s="5" t="str">
        <f t="shared" si="5"/>
        <v/>
      </c>
      <c r="G39" s="5" t="str">
        <f t="shared" si="6"/>
        <v>低</v>
      </c>
      <c r="H39" s="16" t="str">
        <f t="shared" si="7"/>
        <v/>
      </c>
      <c r="I39" s="11" t="str">
        <f t="shared" si="8"/>
        <v/>
      </c>
      <c r="J39" s="5" t="str">
        <f t="shared" si="9"/>
        <v/>
      </c>
      <c r="K39" s="7" t="s">
        <v>130</v>
      </c>
      <c r="L39" s="10"/>
    </row>
    <row r="40" spans="2:12">
      <c r="B40" s="5">
        <v>37</v>
      </c>
      <c r="C40" s="7" t="s">
        <v>159</v>
      </c>
      <c r="D40" s="7"/>
      <c r="E40" s="7">
        <v>40</v>
      </c>
      <c r="F40" s="5" t="str">
        <f t="shared" si="5"/>
        <v/>
      </c>
      <c r="G40" s="5" t="str">
        <f t="shared" si="6"/>
        <v>—</v>
      </c>
      <c r="H40" s="16" t="str">
        <f t="shared" si="7"/>
        <v/>
      </c>
      <c r="I40" s="11" t="str">
        <f t="shared" si="8"/>
        <v/>
      </c>
      <c r="J40" s="5" t="str">
        <f t="shared" si="9"/>
        <v/>
      </c>
      <c r="K40" s="7" t="s">
        <v>133</v>
      </c>
      <c r="L40" s="10" t="s">
        <v>117</v>
      </c>
    </row>
    <row r="41" spans="2:12">
      <c r="B41" s="5">
        <v>38</v>
      </c>
      <c r="C41" s="7" t="s">
        <v>160</v>
      </c>
      <c r="D41" s="7"/>
      <c r="E41" s="7">
        <v>87</v>
      </c>
      <c r="F41" s="5" t="str">
        <f t="shared" si="5"/>
        <v/>
      </c>
      <c r="G41" s="5" t="str">
        <f t="shared" si="6"/>
        <v>低</v>
      </c>
      <c r="H41" s="16" t="str">
        <f t="shared" si="7"/>
        <v/>
      </c>
      <c r="I41" s="11" t="str">
        <f t="shared" si="8"/>
        <v/>
      </c>
      <c r="J41" s="5" t="str">
        <f t="shared" si="9"/>
        <v/>
      </c>
      <c r="K41" s="7" t="s">
        <v>130</v>
      </c>
      <c r="L41" s="10"/>
    </row>
    <row r="42" spans="2:12">
      <c r="B42" s="5">
        <v>39</v>
      </c>
      <c r="C42" s="7" t="s">
        <v>162</v>
      </c>
      <c r="D42" s="7"/>
      <c r="E42" s="7">
        <v>1575</v>
      </c>
      <c r="F42" s="5" t="str">
        <f t="shared" si="5"/>
        <v/>
      </c>
      <c r="G42" s="5" t="str">
        <f t="shared" si="6"/>
        <v>高</v>
      </c>
      <c r="H42" s="16" t="str">
        <f t="shared" si="7"/>
        <v/>
      </c>
      <c r="I42" s="11" t="str">
        <f t="shared" si="8"/>
        <v/>
      </c>
      <c r="J42" s="5" t="str">
        <f t="shared" si="9"/>
        <v/>
      </c>
      <c r="K42" s="7" t="s">
        <v>130</v>
      </c>
      <c r="L42" s="10"/>
    </row>
    <row r="43" spans="2:12">
      <c r="B43" s="5">
        <v>40</v>
      </c>
      <c r="C43" s="7" t="s">
        <v>165</v>
      </c>
      <c r="D43" s="7"/>
      <c r="E43" s="7">
        <v>1743</v>
      </c>
      <c r="F43" s="5" t="str">
        <f t="shared" si="5"/>
        <v/>
      </c>
      <c r="G43" s="5" t="str">
        <f t="shared" si="6"/>
        <v>高</v>
      </c>
      <c r="H43" s="16" t="str">
        <f t="shared" si="7"/>
        <v/>
      </c>
      <c r="I43" s="11" t="str">
        <f t="shared" si="8"/>
        <v/>
      </c>
      <c r="J43" s="5" t="str">
        <f t="shared" si="9"/>
        <v/>
      </c>
      <c r="K43" s="7" t="s">
        <v>130</v>
      </c>
      <c r="L43" s="10"/>
    </row>
    <row r="44" spans="2:12">
      <c r="B44" s="5">
        <v>41</v>
      </c>
      <c r="C44" s="7" t="s">
        <v>166</v>
      </c>
      <c r="D44" s="7"/>
      <c r="E44" s="7">
        <v>520</v>
      </c>
      <c r="F44" s="5" t="str">
        <f t="shared" ref="F44:F48" si="10">IF(D44="","",IF(D44&gt;=800,"高",IF(D44&gt;=250,IF(D44&lt;=600,"中","—"),IF(D44&gt;=50,IF(D44&lt;=150,"低","—"),"—"))))</f>
        <v/>
      </c>
      <c r="G44" s="5" t="str">
        <f t="shared" ref="G44:G48" si="11">IF(E44="","",IF(E44&gt;=800,"高",IF(E44&gt;=250,IF(E44&lt;=600,"中","—"),IF(E44&gt;=50,IF(E44&lt;=150,"低","—"),"—"))))</f>
        <v>中</v>
      </c>
      <c r="H44" s="16" t="str">
        <f t="shared" ref="H44:H48" si="12">IF(OR(D44="",E44=""),"",AVERAGE(D44,E44))</f>
        <v/>
      </c>
      <c r="I44" s="11" t="str">
        <f t="shared" ref="I44:I48" si="13">IF(OR(H44="",H44=0),"",ABS(D44-E44)/H44)</f>
        <v/>
      </c>
      <c r="J44" s="5" t="str">
        <f t="shared" ref="J44:J48" si="14">IF(H44="","",IF(H44&gt;=800,"高",IF(H44&gt;=250,IF(H44&lt;=600,"中","—"),IF(H44&gt;=50,IF(H44&lt;=150,"低","—"),"—"))))</f>
        <v/>
      </c>
      <c r="K44" s="7" t="s">
        <v>130</v>
      </c>
      <c r="L44" s="10"/>
    </row>
    <row r="45" spans="2:12">
      <c r="B45" s="5">
        <v>42</v>
      </c>
      <c r="C45" s="7" t="s">
        <v>167</v>
      </c>
      <c r="D45" s="7"/>
      <c r="E45" s="7">
        <v>460</v>
      </c>
      <c r="F45" s="5" t="str">
        <f t="shared" si="10"/>
        <v/>
      </c>
      <c r="G45" s="5" t="str">
        <f t="shared" si="11"/>
        <v>中</v>
      </c>
      <c r="H45" s="16" t="str">
        <f t="shared" si="12"/>
        <v/>
      </c>
      <c r="I45" s="11" t="str">
        <f t="shared" si="13"/>
        <v/>
      </c>
      <c r="J45" s="5" t="str">
        <f t="shared" si="14"/>
        <v/>
      </c>
      <c r="K45" s="7" t="s">
        <v>130</v>
      </c>
      <c r="L45" s="10"/>
    </row>
    <row r="46" spans="2:12">
      <c r="B46" s="5">
        <v>43</v>
      </c>
      <c r="C46" s="7" t="s">
        <v>168</v>
      </c>
      <c r="D46" s="7"/>
      <c r="E46" s="7">
        <v>784</v>
      </c>
      <c r="F46" s="5" t="str">
        <f t="shared" si="10"/>
        <v/>
      </c>
      <c r="G46" s="5" t="str">
        <f t="shared" si="11"/>
        <v>—</v>
      </c>
      <c r="H46" s="16" t="str">
        <f t="shared" si="12"/>
        <v/>
      </c>
      <c r="I46" s="11" t="str">
        <f t="shared" si="13"/>
        <v/>
      </c>
      <c r="J46" s="5" t="str">
        <f t="shared" si="14"/>
        <v/>
      </c>
      <c r="K46" s="7" t="s">
        <v>130</v>
      </c>
      <c r="L46" s="10"/>
    </row>
    <row r="47" spans="2:12">
      <c r="B47" s="5">
        <v>44</v>
      </c>
      <c r="C47" s="7" t="s">
        <v>169</v>
      </c>
      <c r="D47" s="7"/>
      <c r="E47" s="7">
        <v>279</v>
      </c>
      <c r="F47" s="5" t="str">
        <f t="shared" si="10"/>
        <v/>
      </c>
      <c r="G47" s="5" t="str">
        <f t="shared" si="11"/>
        <v>中</v>
      </c>
      <c r="H47" s="16" t="str">
        <f t="shared" si="12"/>
        <v/>
      </c>
      <c r="I47" s="11" t="str">
        <f t="shared" si="13"/>
        <v/>
      </c>
      <c r="J47" s="5" t="str">
        <f t="shared" si="14"/>
        <v/>
      </c>
      <c r="K47" s="7" t="s">
        <v>134</v>
      </c>
      <c r="L47" s="10" t="s">
        <v>171</v>
      </c>
    </row>
    <row r="48" spans="2:12">
      <c r="B48" s="5">
        <v>45</v>
      </c>
      <c r="C48" s="7" t="s">
        <v>170</v>
      </c>
      <c r="D48" s="7"/>
      <c r="E48" s="7">
        <v>7174</v>
      </c>
      <c r="F48" s="5" t="str">
        <f t="shared" si="10"/>
        <v/>
      </c>
      <c r="G48" s="5" t="str">
        <f t="shared" si="11"/>
        <v>高</v>
      </c>
      <c r="H48" s="16" t="str">
        <f t="shared" si="12"/>
        <v/>
      </c>
      <c r="I48" s="11" t="str">
        <f t="shared" si="13"/>
        <v/>
      </c>
      <c r="J48" s="5" t="str">
        <f t="shared" si="14"/>
        <v/>
      </c>
      <c r="K48" s="7" t="s">
        <v>130</v>
      </c>
      <c r="L48" s="10"/>
    </row>
    <row r="50" spans="2:12" ht="18" customHeight="1">
      <c r="B50" s="31" t="s">
        <v>55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</row>
  </sheetData>
  <mergeCells count="3">
    <mergeCell ref="B50:L50"/>
    <mergeCell ref="A2:L2"/>
    <mergeCell ref="A1:L1"/>
  </mergeCells>
  <phoneticPr fontId="8" type="noConversion"/>
  <conditionalFormatting sqref="D4:J48">
    <cfRule type="expression" dxfId="0" priority="1">
      <formula>AND(ISNUMBER($I4),$I4&gt;=$O$3)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9"/>
  <sheetViews>
    <sheetView tabSelected="1" workbookViewId="0">
      <selection activeCell="N6" sqref="N6"/>
    </sheetView>
  </sheetViews>
  <sheetFormatPr defaultRowHeight="15.75"/>
  <cols>
    <col min="1" max="1" width="2.5703125" customWidth="1"/>
    <col min="2" max="2" width="5" customWidth="1"/>
    <col min="3" max="3" width="16.5703125" bestFit="1" customWidth="1"/>
    <col min="4" max="5" width="6" customWidth="1"/>
    <col min="6" max="10" width="8" customWidth="1"/>
    <col min="11" max="12" width="11.85546875" customWidth="1"/>
    <col min="13" max="15" width="8" customWidth="1"/>
    <col min="16" max="18" width="9" customWidth="1"/>
  </cols>
  <sheetData>
    <row r="1" spans="1:20" ht="26.1" customHeight="1">
      <c r="A1" s="38" t="s">
        <v>96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2" spans="1:20" ht="27.95" customHeight="1">
      <c r="A2" s="31" t="s">
        <v>107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20" ht="48" customHeight="1">
      <c r="B3" s="1" t="s">
        <v>50</v>
      </c>
      <c r="C3" s="1" t="s">
        <v>51</v>
      </c>
      <c r="D3" s="1" t="s">
        <v>52</v>
      </c>
      <c r="E3" s="1" t="s">
        <v>53</v>
      </c>
      <c r="F3" s="1" t="s">
        <v>112</v>
      </c>
      <c r="G3" s="1" t="s">
        <v>178</v>
      </c>
      <c r="H3" s="1" t="s">
        <v>179</v>
      </c>
      <c r="I3" s="1" t="s">
        <v>56</v>
      </c>
      <c r="J3" s="1" t="s">
        <v>57</v>
      </c>
      <c r="K3" s="1" t="s">
        <v>110</v>
      </c>
      <c r="L3" s="1" t="s">
        <v>111</v>
      </c>
      <c r="M3" s="1" t="s">
        <v>98</v>
      </c>
      <c r="N3" s="1" t="s">
        <v>180</v>
      </c>
      <c r="O3" s="1" t="s">
        <v>181</v>
      </c>
      <c r="P3" s="1" t="s">
        <v>99</v>
      </c>
      <c r="Q3" s="1" t="s">
        <v>100</v>
      </c>
      <c r="R3" s="1" t="s">
        <v>101</v>
      </c>
      <c r="S3" s="1" t="s">
        <v>102</v>
      </c>
      <c r="T3" s="1" t="s">
        <v>103</v>
      </c>
    </row>
    <row r="4" spans="1:20">
      <c r="B4" s="17">
        <v>1</v>
      </c>
      <c r="C4" s="17" t="s">
        <v>159</v>
      </c>
      <c r="D4" s="17" t="s">
        <v>174</v>
      </c>
      <c r="E4" s="17" t="s">
        <v>97</v>
      </c>
      <c r="F4" s="17" t="str">
        <f t="shared" ref="F4:F20" si="0">IF(E4="G1","AOI-1",IF(E4="G2","AOI-2",""))</f>
        <v>AOI-1</v>
      </c>
      <c r="G4" s="17">
        <v>40</v>
      </c>
      <c r="H4" s="17"/>
      <c r="I4" s="17">
        <v>3185</v>
      </c>
      <c r="J4" s="17">
        <v>2969</v>
      </c>
      <c r="K4" s="17">
        <v>1677</v>
      </c>
      <c r="L4" s="17">
        <v>1454</v>
      </c>
      <c r="M4" s="17" t="str">
        <f>IF(F4="AOI-1","AOI-2",IF(F4="AOI-2","AOI-1",""))</f>
        <v>AOI-2</v>
      </c>
      <c r="N4" s="17">
        <v>1557</v>
      </c>
      <c r="O4" s="17" t="s">
        <v>182</v>
      </c>
      <c r="P4" s="27" t="str">
        <f>IF(OR(L4="",COUNT(G4:J4)&lt;4),"",IF(F4="AOI-1",L4*AVERAGE(H4,I4)/AVERAGE(G4,J4),L4*AVERAGE(G4,J4)/AVERAGE(H4,I4)))</f>
        <v/>
      </c>
      <c r="Q4" s="20" t="str">
        <f>IF(COUNT(G4:J4)&lt;4,"",(AVERAGE(H4,I4)-AVERAGE(G4,J4))/AVERAGE(G4,J4))</f>
        <v/>
      </c>
      <c r="R4" s="21" t="str">
        <f>IF(OR(K4="",COUNT(G4:J4)&lt;4),"",IF(F4="AOI-1",(AVERAGE(H4,I4)-K4)/AVERAGE(H4,I4),(AVERAGE(G4,J4)-K4)/AVERAGE(G4,J4)))</f>
        <v/>
      </c>
      <c r="S4" s="20" t="str">
        <f>IF(OR(K4="",P4=""),"",(K4-P4)/K4)</f>
        <v/>
      </c>
      <c r="T4" s="20" t="e">
        <f>IF(OR(P4="",#REF!=""),"",(P4-#REF!)/P4)</f>
        <v>#REF!</v>
      </c>
    </row>
    <row r="5" spans="1:20">
      <c r="B5" s="22">
        <v>2</v>
      </c>
      <c r="C5" s="22" t="s">
        <v>148</v>
      </c>
      <c r="D5" s="26" t="s">
        <v>174</v>
      </c>
      <c r="E5" s="23" t="s">
        <v>59</v>
      </c>
      <c r="F5" s="22" t="str">
        <f t="shared" si="0"/>
        <v>AOI-2</v>
      </c>
      <c r="G5" s="26">
        <f>IF(C5="","",IFERROR(IF(INDEX(B_選片!$E$4:$E$33,MATCH(C5,B_選片!$C$4:$C$33,0))="","",INDEX(B_選片!$E$4:$E$33,MATCH(C5,B_選片!$C$4:$C$33,0))),"查無"))</f>
        <v>48</v>
      </c>
      <c r="H5" s="26"/>
      <c r="I5" s="22">
        <v>1718</v>
      </c>
      <c r="J5" s="22">
        <v>1727</v>
      </c>
      <c r="K5" s="22">
        <v>330</v>
      </c>
      <c r="L5" s="22">
        <v>386</v>
      </c>
      <c r="M5" s="22" t="str">
        <f>IF(F5="AOI-1","AOI-2",IF(F5="AOI-2","AOI-1",""))</f>
        <v>AOI-1</v>
      </c>
      <c r="N5" s="26">
        <v>314</v>
      </c>
      <c r="O5" s="22" t="s">
        <v>183</v>
      </c>
      <c r="P5" s="28" t="str">
        <f>IF(OR(L5="",COUNT(G5:J5)&lt;4),"",IF(F5="AOI-1",L5*AVERAGE(H5,I5)/AVERAGE(G5,J5),L5*AVERAGE(G5,J5)/AVERAGE(H5,I5)))</f>
        <v/>
      </c>
      <c r="Q5" s="24" t="str">
        <f>IF(COUNT(G5:J5)&lt;4,"",(AVERAGE(H5,I5)-AVERAGE(G5,J5))/AVERAGE(G5,J5))</f>
        <v/>
      </c>
      <c r="R5" s="25" t="str">
        <f>IF(OR(K5="",COUNT(G5:J5)&lt;4),"",IF(F5="AOI-1",(AVERAGE(H5,I5)-K5)/AVERAGE(H5,I5),(AVERAGE(G5,J5)-K5)/AVERAGE(G5,J5)))</f>
        <v/>
      </c>
      <c r="S5" s="24" t="str">
        <f>IF(OR(K5="",P5=""),"",(K5-P5)/K5)</f>
        <v/>
      </c>
      <c r="T5" s="24" t="e">
        <f>IF(OR(P5="",#REF!=""),"",(P5-#REF!)/P5)</f>
        <v>#REF!</v>
      </c>
    </row>
    <row r="6" spans="1:20">
      <c r="B6" s="5"/>
      <c r="C6" s="5"/>
      <c r="D6" s="5"/>
      <c r="E6" s="8"/>
      <c r="F6" s="5"/>
      <c r="G6" s="5"/>
      <c r="H6" s="5"/>
      <c r="I6" s="5"/>
      <c r="J6" s="5"/>
      <c r="K6" s="5"/>
      <c r="L6" s="5"/>
      <c r="M6" s="5"/>
      <c r="P6" s="29"/>
      <c r="Q6" s="12"/>
      <c r="R6" s="11"/>
      <c r="S6" s="12"/>
      <c r="T6" s="12"/>
    </row>
    <row r="7" spans="1:20">
      <c r="B7" s="17">
        <v>3</v>
      </c>
      <c r="C7" s="17" t="s">
        <v>151</v>
      </c>
      <c r="D7" s="17" t="s">
        <v>174</v>
      </c>
      <c r="E7" s="17" t="s">
        <v>97</v>
      </c>
      <c r="F7" s="17" t="str">
        <f t="shared" si="0"/>
        <v>AOI-1</v>
      </c>
      <c r="G7" s="17">
        <f>IF(C7="","",IFERROR(IF(INDEX(B_選片!$E$4:$E$33,MATCH(C7,B_選片!$C$4:$C$33,0))="","",INDEX(B_選片!$E$4:$E$33,MATCH(C7,B_選片!$C$4:$C$33,0))),"查無"))</f>
        <v>131</v>
      </c>
      <c r="H7" s="17"/>
      <c r="I7" s="17">
        <v>4186</v>
      </c>
      <c r="J7" s="17">
        <v>3933</v>
      </c>
      <c r="K7" s="17">
        <v>1677</v>
      </c>
      <c r="L7" s="17">
        <v>1410</v>
      </c>
      <c r="M7" s="17" t="str">
        <f>IF(F7="AOI-1","AOI-2",IF(F7="AOI-2","AOI-1",""))</f>
        <v>AOI-2</v>
      </c>
      <c r="N7" s="17">
        <v>1538</v>
      </c>
      <c r="O7" s="17" t="s">
        <v>182</v>
      </c>
      <c r="P7" s="27" t="str">
        <f>IF(OR(L7="",COUNT(G7:J7)&lt;4),"",IF(F7="AOI-1",L7*AVERAGE(H7,I7)/AVERAGE(G7,J7),L7*AVERAGE(G7,J7)/AVERAGE(H7,I7)))</f>
        <v/>
      </c>
      <c r="Q7" s="20" t="str">
        <f>IF(COUNT(G7:J7)&lt;4,"",(AVERAGE(H7,I7)-AVERAGE(G7,J7))/AVERAGE(G7,J7))</f>
        <v/>
      </c>
      <c r="R7" s="21" t="str">
        <f>IF(OR(K7="",COUNT(G7:J7)&lt;4),"",IF(F7="AOI-1",(AVERAGE(H7,I7)-K7)/AVERAGE(H7,I7),(AVERAGE(G7,J7)-K7)/AVERAGE(G7,J7)))</f>
        <v/>
      </c>
      <c r="S7" s="20" t="str">
        <f>IF(OR(K7="",P7=""),"",(K7-P7)/K7)</f>
        <v/>
      </c>
      <c r="T7" s="20" t="e">
        <f>IF(OR(P7="",#REF!=""),"",(P7-#REF!)/P7)</f>
        <v>#REF!</v>
      </c>
    </row>
    <row r="8" spans="1:20">
      <c r="B8" s="22">
        <v>4</v>
      </c>
      <c r="C8" s="22" t="s">
        <v>155</v>
      </c>
      <c r="D8" s="26" t="s">
        <v>174</v>
      </c>
      <c r="E8" s="23" t="s">
        <v>59</v>
      </c>
      <c r="F8" s="22" t="str">
        <f t="shared" si="0"/>
        <v>AOI-2</v>
      </c>
      <c r="G8" s="26">
        <v>85</v>
      </c>
      <c r="H8" s="26"/>
      <c r="I8" s="22">
        <v>3882</v>
      </c>
      <c r="J8" s="22">
        <v>3735</v>
      </c>
      <c r="K8" s="22">
        <v>884</v>
      </c>
      <c r="L8" s="22">
        <v>977</v>
      </c>
      <c r="M8" s="22" t="str">
        <f>IF(F8="AOI-1","AOI-2",IF(F8="AOI-2","AOI-1",""))</f>
        <v>AOI-1</v>
      </c>
      <c r="N8" s="26">
        <v>831</v>
      </c>
      <c r="O8" s="22" t="s">
        <v>183</v>
      </c>
      <c r="P8" s="28" t="str">
        <f>IF(OR(L8="",COUNT(G8:J8)&lt;4),"",IF(F8="AOI-1",L8*AVERAGE(H8,I8)/AVERAGE(G8,J8),L8*AVERAGE(G8,J8)/AVERAGE(H8,I8)))</f>
        <v/>
      </c>
      <c r="Q8" s="24" t="str">
        <f>IF(COUNT(G8:J8)&lt;4,"",(AVERAGE(H8,I8)-AVERAGE(G8,J8))/AVERAGE(G8,J8))</f>
        <v/>
      </c>
      <c r="R8" s="25" t="str">
        <f>IF(OR(K8="",COUNT(G8:J8)&lt;4),"",IF(F8="AOI-1",(AVERAGE(H8,I8)-K8)/AVERAGE(H8,I8),(AVERAGE(G8,J8)-K8)/AVERAGE(G8,J8)))</f>
        <v/>
      </c>
      <c r="S8" s="24" t="str">
        <f>IF(OR(K8="",P8=""),"",(K8-P8)/K8)</f>
        <v/>
      </c>
      <c r="T8" s="24" t="e">
        <f>IF(OR(P8="",#REF!=""),"",(P8-#REF!)/P8)</f>
        <v>#REF!</v>
      </c>
    </row>
    <row r="9" spans="1:20">
      <c r="B9" s="5"/>
      <c r="C9" s="5"/>
      <c r="D9" s="5"/>
      <c r="E9" s="8"/>
      <c r="F9" s="5"/>
      <c r="G9" s="5"/>
      <c r="H9" s="5"/>
      <c r="I9" s="5"/>
      <c r="J9" s="5"/>
      <c r="K9" s="5"/>
      <c r="L9" s="5"/>
      <c r="M9" s="5"/>
      <c r="O9" s="30"/>
      <c r="P9" s="29"/>
      <c r="Q9" s="12"/>
      <c r="R9" s="11"/>
      <c r="S9" s="12"/>
      <c r="T9" s="12"/>
    </row>
    <row r="10" spans="1:20">
      <c r="B10" s="17">
        <v>5</v>
      </c>
      <c r="C10" s="17" t="s">
        <v>156</v>
      </c>
      <c r="D10" s="18" t="s">
        <v>175</v>
      </c>
      <c r="E10" s="19" t="s">
        <v>58</v>
      </c>
      <c r="F10" s="17" t="str">
        <f t="shared" si="0"/>
        <v>AOI-1</v>
      </c>
      <c r="G10" s="18">
        <v>260</v>
      </c>
      <c r="H10" s="18"/>
      <c r="I10" s="17">
        <v>4885</v>
      </c>
      <c r="J10" s="17">
        <v>4585</v>
      </c>
      <c r="K10" s="17">
        <v>1818</v>
      </c>
      <c r="L10" s="17">
        <v>1589</v>
      </c>
      <c r="M10" s="17" t="str">
        <f>IF(F10="AOI-1","AOI-2",IF(F10="AOI-2","AOI-1",""))</f>
        <v>AOI-2</v>
      </c>
      <c r="N10" s="17">
        <v>1734</v>
      </c>
      <c r="O10" s="17" t="s">
        <v>182</v>
      </c>
      <c r="P10" s="27" t="str">
        <f>IF(OR(L10="",COUNT(G10:J10)&lt;4),"",IF(F10="AOI-1",L10*AVERAGE(H10,I10)/AVERAGE(G10,J10),L10*AVERAGE(G10,J10)/AVERAGE(H10,I10)))</f>
        <v/>
      </c>
      <c r="Q10" s="20" t="str">
        <f>IF(COUNT(G10:J10)&lt;4,"",(AVERAGE(H10,I10)-AVERAGE(G10,J10))/AVERAGE(G10,J10))</f>
        <v/>
      </c>
      <c r="R10" s="21" t="str">
        <f>IF(OR(K10="",COUNT(G10:J10)&lt;4),"",IF(F10="AOI-1",(AVERAGE(H10,I10)-K10)/AVERAGE(H10,I10),(AVERAGE(G10,J10)-K10)/AVERAGE(G10,J10)))</f>
        <v/>
      </c>
      <c r="S10" s="20" t="str">
        <f>IF(OR(K10="",P10=""),"",(K10-P10)/K10)</f>
        <v/>
      </c>
      <c r="T10" s="20" t="e">
        <f>IF(OR(P10="",#REF!=""),"",(P10-#REF!)/P10)</f>
        <v>#REF!</v>
      </c>
    </row>
    <row r="11" spans="1:20">
      <c r="B11" s="22">
        <v>6</v>
      </c>
      <c r="C11" s="22" t="s">
        <v>169</v>
      </c>
      <c r="D11" s="26" t="s">
        <v>175</v>
      </c>
      <c r="E11" s="23" t="s">
        <v>59</v>
      </c>
      <c r="F11" s="22" t="str">
        <f t="shared" si="0"/>
        <v>AOI-2</v>
      </c>
      <c r="G11" s="26">
        <v>279</v>
      </c>
      <c r="H11" s="26"/>
      <c r="I11" s="22">
        <v>3022</v>
      </c>
      <c r="J11" s="22">
        <v>2830</v>
      </c>
      <c r="K11" s="22">
        <v>819</v>
      </c>
      <c r="L11" s="22">
        <v>923</v>
      </c>
      <c r="M11" s="22" t="str">
        <f>IF(F11="AOI-1","AOI-2",IF(F11="AOI-2","AOI-1",""))</f>
        <v>AOI-1</v>
      </c>
      <c r="N11" s="26">
        <v>787</v>
      </c>
      <c r="O11" s="22" t="s">
        <v>183</v>
      </c>
      <c r="P11" s="28" t="str">
        <f>IF(OR(L11="",COUNT(G11:J11)&lt;4),"",IF(F11="AOI-1",L11*AVERAGE(H11,I11)/AVERAGE(G11,J11),L11*AVERAGE(G11,J11)/AVERAGE(H11,I11)))</f>
        <v/>
      </c>
      <c r="Q11" s="24" t="str">
        <f>IF(COUNT(G11:J11)&lt;4,"",(AVERAGE(H11,I11)-AVERAGE(G11,J11))/AVERAGE(G11,J11))</f>
        <v/>
      </c>
      <c r="R11" s="25" t="str">
        <f>IF(OR(K11="",COUNT(G11:J11)&lt;4),"",IF(F11="AOI-1",(AVERAGE(H11,I11)-K11)/AVERAGE(H11,I11),(AVERAGE(G11,J11)-K11)/AVERAGE(G11,J11)))</f>
        <v/>
      </c>
      <c r="S11" s="24" t="str">
        <f>IF(OR(K11="",P11=""),"",(K11-P11)/K11)</f>
        <v/>
      </c>
      <c r="T11" s="24" t="e">
        <f>IF(OR(P11="",#REF!=""),"",(P11-#REF!)/P11)</f>
        <v>#REF!</v>
      </c>
    </row>
    <row r="12" spans="1:20">
      <c r="B12" s="5"/>
      <c r="C12" s="5"/>
      <c r="D12" s="5"/>
      <c r="E12" s="8"/>
      <c r="F12" s="5"/>
      <c r="G12" s="5"/>
      <c r="H12" s="5"/>
      <c r="I12" s="5"/>
      <c r="J12" s="5"/>
      <c r="K12" s="5"/>
      <c r="L12" s="5"/>
      <c r="M12" s="5"/>
      <c r="O12" s="30"/>
      <c r="P12" s="29"/>
      <c r="Q12" s="12"/>
      <c r="R12" s="11"/>
      <c r="S12" s="12"/>
      <c r="T12" s="12"/>
    </row>
    <row r="13" spans="1:20">
      <c r="B13" s="17">
        <v>7</v>
      </c>
      <c r="C13" s="17" t="s">
        <v>114</v>
      </c>
      <c r="D13" s="18" t="s">
        <v>175</v>
      </c>
      <c r="E13" s="19" t="s">
        <v>58</v>
      </c>
      <c r="F13" s="17" t="str">
        <f t="shared" si="0"/>
        <v>AOI-1</v>
      </c>
      <c r="G13" s="18">
        <f>IF(C13="","",IFERROR(IF(INDEX(B_選片!$E$4:$E$33,MATCH(C13,B_選片!$C$4:$C$33,0))="","",INDEX(B_選片!$E$4:$E$33,MATCH(C13,B_選片!$C$4:$C$33,0))),"查無"))</f>
        <v>603</v>
      </c>
      <c r="H13" s="18"/>
      <c r="I13" s="17">
        <v>6297</v>
      </c>
      <c r="J13" s="17">
        <v>5791</v>
      </c>
      <c r="K13" s="17">
        <v>1868</v>
      </c>
      <c r="L13" s="17">
        <v>1518</v>
      </c>
      <c r="M13" s="17" t="str">
        <f>IF(F13="AOI-1","AOI-2",IF(F13="AOI-2","AOI-1",""))</f>
        <v>AOI-2</v>
      </c>
      <c r="N13" s="17">
        <v>1750</v>
      </c>
      <c r="O13" s="17" t="s">
        <v>182</v>
      </c>
      <c r="P13" s="27" t="str">
        <f>IF(OR(L13="",COUNT(G13:J13)&lt;4),"",IF(F13="AOI-1",L13*AVERAGE(H13,I13)/AVERAGE(G13,J13),L13*AVERAGE(G13,J13)/AVERAGE(H13,I13)))</f>
        <v/>
      </c>
      <c r="Q13" s="20" t="str">
        <f>IF(COUNT(G13:J13)&lt;4,"",(AVERAGE(H13,I13)-AVERAGE(G13,J13))/AVERAGE(G13,J13))</f>
        <v/>
      </c>
      <c r="R13" s="21" t="str">
        <f>IF(OR(K13="",COUNT(G13:J13)&lt;4),"",IF(F13="AOI-1",(AVERAGE(H13,I13)-K13)/AVERAGE(H13,I13),(AVERAGE(G13,J13)-K13)/AVERAGE(G13,J13)))</f>
        <v/>
      </c>
      <c r="S13" s="20" t="str">
        <f>IF(OR(K13="",P13=""),"",(K13-P13)/K13)</f>
        <v/>
      </c>
      <c r="T13" s="20" t="e">
        <f>IF(OR(P13="",#REF!=""),"",(P13-#REF!)/P13)</f>
        <v>#REF!</v>
      </c>
    </row>
    <row r="14" spans="1:20">
      <c r="B14" s="22">
        <v>8</v>
      </c>
      <c r="C14" s="22" t="s">
        <v>120</v>
      </c>
      <c r="D14" s="26" t="s">
        <v>175</v>
      </c>
      <c r="E14" s="23" t="s">
        <v>59</v>
      </c>
      <c r="F14" s="22" t="str">
        <f t="shared" si="0"/>
        <v>AOI-2</v>
      </c>
      <c r="G14" s="26">
        <f>IF(C14="","",IFERROR(IF(INDEX(B_選片!$E$4:$E$33,MATCH(C14,B_選片!$C$4:$C$33,0))="","",INDEX(B_選片!$E$4:$E$33,MATCH(C14,B_選片!$C$4:$C$33,0))),"查無"))</f>
        <v>582</v>
      </c>
      <c r="H14" s="26"/>
      <c r="I14" s="22">
        <v>11217</v>
      </c>
      <c r="J14" s="22">
        <v>10353</v>
      </c>
      <c r="K14" s="22">
        <v>3283</v>
      </c>
      <c r="L14" s="22">
        <v>3641</v>
      </c>
      <c r="M14" s="22" t="str">
        <f>IF(F14="AOI-1","AOI-2",IF(F14="AOI-2","AOI-1",""))</f>
        <v>AOI-1</v>
      </c>
      <c r="N14" s="26">
        <v>3000</v>
      </c>
      <c r="O14" s="22" t="s">
        <v>183</v>
      </c>
      <c r="P14" s="28" t="str">
        <f>IF(OR(L14="",COUNT(G14:J14)&lt;4),"",IF(F14="AOI-1",L14*AVERAGE(H14,I14)/AVERAGE(G14,J14),L14*AVERAGE(G14,J14)/AVERAGE(H14,I14)))</f>
        <v/>
      </c>
      <c r="Q14" s="24" t="str">
        <f>IF(COUNT(G14:J14)&lt;4,"",(AVERAGE(H14,I14)-AVERAGE(G14,J14))/AVERAGE(G14,J14))</f>
        <v/>
      </c>
      <c r="R14" s="25" t="str">
        <f>IF(OR(K14="",COUNT(G14:J14)&lt;4),"",IF(F14="AOI-1",(AVERAGE(H14,I14)-K14)/AVERAGE(H14,I14),(AVERAGE(G14,J14)-K14)/AVERAGE(G14,J14)))</f>
        <v/>
      </c>
      <c r="S14" s="24" t="str">
        <f>IF(OR(K14="",P14=""),"",(K14-P14)/K14)</f>
        <v/>
      </c>
      <c r="T14" s="24" t="e">
        <f>IF(OR(P14="",#REF!=""),"",(P14-#REF!)/P14)</f>
        <v>#REF!</v>
      </c>
    </row>
    <row r="15" spans="1:20">
      <c r="B15" s="5"/>
      <c r="C15" s="5"/>
      <c r="D15" s="5"/>
      <c r="E15" s="8"/>
      <c r="F15" s="5"/>
      <c r="G15" s="5"/>
      <c r="H15" s="5"/>
      <c r="I15" s="5"/>
      <c r="J15" s="5"/>
      <c r="K15" s="5"/>
      <c r="L15" s="5"/>
      <c r="M15" s="5"/>
      <c r="O15" s="30"/>
      <c r="P15" s="29"/>
      <c r="Q15" s="12"/>
      <c r="R15" s="11"/>
      <c r="S15" s="12"/>
      <c r="T15" s="12"/>
    </row>
    <row r="16" spans="1:20">
      <c r="B16" s="17">
        <v>9</v>
      </c>
      <c r="C16" s="17" t="s">
        <v>123</v>
      </c>
      <c r="D16" s="18" t="s">
        <v>177</v>
      </c>
      <c r="E16" s="19" t="s">
        <v>58</v>
      </c>
      <c r="F16" s="17" t="str">
        <f t="shared" si="0"/>
        <v>AOI-1</v>
      </c>
      <c r="G16" s="18">
        <f>IF(C16="","",IFERROR(IF(INDEX(B_選片!$E$4:$E$33,MATCH(C16,B_選片!$C$4:$C$33,0))="","",INDEX(B_選片!$E$4:$E$33,MATCH(C16,B_選片!$C$4:$C$33,0))),"查無"))</f>
        <v>887</v>
      </c>
      <c r="H16" s="18"/>
      <c r="I16" s="17">
        <v>2131</v>
      </c>
      <c r="J16" s="17">
        <v>1956</v>
      </c>
      <c r="K16" s="17">
        <v>966</v>
      </c>
      <c r="L16" s="17">
        <v>811</v>
      </c>
      <c r="M16" s="17" t="str">
        <f>IF(F16="AOI-1","AOI-2",IF(F16="AOI-2","AOI-1",""))</f>
        <v>AOI-2</v>
      </c>
      <c r="N16" s="17">
        <v>956</v>
      </c>
      <c r="O16" s="17" t="s">
        <v>182</v>
      </c>
      <c r="P16" s="27" t="str">
        <f>IF(OR(L16="",COUNT(G16:J16)&lt;4),"",IF(F16="AOI-1",L16*AVERAGE(H16,I16)/AVERAGE(G16,J16),L16*AVERAGE(G16,J16)/AVERAGE(H16,I16)))</f>
        <v/>
      </c>
      <c r="Q16" s="20" t="str">
        <f>IF(COUNT(G16:J16)&lt;4,"",(AVERAGE(H16,I16)-AVERAGE(G16,J16))/AVERAGE(G16,J16))</f>
        <v/>
      </c>
      <c r="R16" s="21" t="str">
        <f>IF(OR(K16="",COUNT(G16:J16)&lt;4),"",IF(F16="AOI-1",(AVERAGE(H16,I16)-K16)/AVERAGE(H16,I16),(AVERAGE(G16,J16)-K16)/AVERAGE(G16,J16)))</f>
        <v/>
      </c>
      <c r="S16" s="20" t="str">
        <f>IF(OR(K16="",P16=""),"",(K16-P16)/K16)</f>
        <v/>
      </c>
      <c r="T16" s="20" t="e">
        <f>IF(OR(P16="",#REF!=""),"",(P16-#REF!)/P16)</f>
        <v>#REF!</v>
      </c>
    </row>
    <row r="17" spans="2:20">
      <c r="B17" s="22">
        <v>10</v>
      </c>
      <c r="C17" s="22" t="s">
        <v>128</v>
      </c>
      <c r="D17" s="26" t="s">
        <v>177</v>
      </c>
      <c r="E17" s="23" t="s">
        <v>59</v>
      </c>
      <c r="F17" s="22" t="str">
        <f t="shared" si="0"/>
        <v>AOI-2</v>
      </c>
      <c r="G17" s="26">
        <f>IF(C17="","",IFERROR(IF(INDEX(B_選片!$E$4:$E$33,MATCH(C17,B_選片!$C$4:$C$33,0))="","",INDEX(B_選片!$E$4:$E$33,MATCH(C17,B_選片!$C$4:$C$33,0))),"查無"))</f>
        <v>930</v>
      </c>
      <c r="H17" s="26"/>
      <c r="I17" s="22">
        <v>3854</v>
      </c>
      <c r="J17" s="22">
        <v>3645</v>
      </c>
      <c r="K17" s="22">
        <v>1206</v>
      </c>
      <c r="L17" s="22">
        <v>1279</v>
      </c>
      <c r="M17" s="22" t="str">
        <f>IF(F17="AOI-1","AOI-2",IF(F17="AOI-2","AOI-1",""))</f>
        <v>AOI-1</v>
      </c>
      <c r="N17" s="26">
        <v>1120</v>
      </c>
      <c r="O17" s="22" t="s">
        <v>183</v>
      </c>
      <c r="P17" s="28" t="str">
        <f>IF(OR(L17="",COUNT(G17:J17)&lt;4),"",IF(F17="AOI-1",L17*AVERAGE(H17,I17)/AVERAGE(G17,J17),L17*AVERAGE(G17,J17)/AVERAGE(H17,I17)))</f>
        <v/>
      </c>
      <c r="Q17" s="24" t="str">
        <f>IF(COUNT(G17:J17)&lt;4,"",(AVERAGE(H17,I17)-AVERAGE(G17,J17))/AVERAGE(G17,J17))</f>
        <v/>
      </c>
      <c r="R17" s="25" t="str">
        <f>IF(OR(K17="",COUNT(G17:J17)&lt;4),"",IF(F17="AOI-1",(AVERAGE(H17,I17)-K17)/AVERAGE(H17,I17),(AVERAGE(G17,J17)-K17)/AVERAGE(G17,J17)))</f>
        <v/>
      </c>
      <c r="S17" s="24" t="str">
        <f>IF(OR(K17="",P17=""),"",(K17-P17)/K17)</f>
        <v/>
      </c>
      <c r="T17" s="24" t="e">
        <f>IF(OR(P17="",#REF!=""),"",(P17-#REF!)/P17)</f>
        <v>#REF!</v>
      </c>
    </row>
    <row r="18" spans="2:20">
      <c r="B18" s="5"/>
      <c r="C18" s="5"/>
      <c r="D18" s="5"/>
      <c r="E18" s="8"/>
      <c r="F18" s="5"/>
      <c r="G18" s="5"/>
      <c r="H18" s="5"/>
      <c r="I18" s="5"/>
      <c r="J18" s="5"/>
      <c r="K18" s="5"/>
      <c r="L18" s="5"/>
      <c r="M18" s="5"/>
      <c r="O18" s="30"/>
      <c r="P18" s="29"/>
      <c r="Q18" s="12"/>
      <c r="R18" s="11"/>
      <c r="S18" s="12"/>
      <c r="T18" s="12"/>
    </row>
    <row r="19" spans="2:20">
      <c r="B19" s="17">
        <v>11</v>
      </c>
      <c r="C19" s="17" t="s">
        <v>147</v>
      </c>
      <c r="D19" s="18" t="s">
        <v>177</v>
      </c>
      <c r="E19" s="19" t="s">
        <v>58</v>
      </c>
      <c r="F19" s="17" t="str">
        <f t="shared" si="0"/>
        <v>AOI-1</v>
      </c>
      <c r="G19" s="18">
        <f>IF(C19="","",IFERROR(IF(INDEX(B_選片!$E$4:$E$33,MATCH(C19,B_選片!$C$4:$C$33,0))="","",INDEX(B_選片!$E$4:$E$33,MATCH(C19,B_選片!$C$4:$C$33,0))),"查無"))</f>
        <v>1035</v>
      </c>
      <c r="H19" s="18"/>
      <c r="I19" s="17">
        <v>6201</v>
      </c>
      <c r="J19" s="17">
        <v>5552</v>
      </c>
      <c r="K19" s="17">
        <v>2108</v>
      </c>
      <c r="L19" s="17">
        <v>1758</v>
      </c>
      <c r="M19" s="17" t="str">
        <f>IF(F19="AOI-1","AOI-2",IF(F19="AOI-2","AOI-1",""))</f>
        <v>AOI-2</v>
      </c>
      <c r="N19" s="17">
        <v>2072</v>
      </c>
      <c r="O19" s="17" t="s">
        <v>182</v>
      </c>
      <c r="P19" s="27" t="str">
        <f>IF(OR(L19="",COUNT(G19:J19)&lt;4),"",IF(F19="AOI-1",L19*AVERAGE(H19,I19)/AVERAGE(G19,J19),L19*AVERAGE(G19,J19)/AVERAGE(H19,I19)))</f>
        <v/>
      </c>
      <c r="Q19" s="20" t="str">
        <f>IF(COUNT(G19:J19)&lt;4,"",(AVERAGE(H19,I19)-AVERAGE(G19,J19))/AVERAGE(G19,J19))</f>
        <v/>
      </c>
      <c r="R19" s="21" t="str">
        <f>IF(OR(K19="",COUNT(G19:J19)&lt;4),"",IF(F19="AOI-1",(AVERAGE(H19,I19)-K19)/AVERAGE(H19,I19),(AVERAGE(G19,J19)-K19)/AVERAGE(G19,J19)))</f>
        <v/>
      </c>
      <c r="S19" s="20" t="str">
        <f>IF(OR(K19="",P19=""),"",(K19-P19)/K19)</f>
        <v/>
      </c>
      <c r="T19" s="20" t="e">
        <f>IF(OR(P19="",#REF!=""),"",(P19-#REF!)/P19)</f>
        <v>#REF!</v>
      </c>
    </row>
    <row r="20" spans="2:20">
      <c r="B20" s="22">
        <v>12</v>
      </c>
      <c r="C20" s="22" t="s">
        <v>124</v>
      </c>
      <c r="D20" s="26" t="s">
        <v>177</v>
      </c>
      <c r="E20" s="23" t="s">
        <v>59</v>
      </c>
      <c r="F20" s="22" t="str">
        <f t="shared" si="0"/>
        <v>AOI-2</v>
      </c>
      <c r="G20" s="26">
        <f>IF(C20="","",IFERROR(IF(INDEX(B_選片!$E$4:$E$33,MATCH(C20,B_選片!$C$4:$C$33,0))="","",INDEX(B_選片!$E$4:$E$33,MATCH(C20,B_選片!$C$4:$C$33,0))),"查無"))</f>
        <v>1022</v>
      </c>
      <c r="H20" s="26"/>
      <c r="I20" s="22">
        <v>3271</v>
      </c>
      <c r="J20" s="22">
        <v>3066</v>
      </c>
      <c r="K20" s="22">
        <v>1300</v>
      </c>
      <c r="L20" s="22">
        <v>1441</v>
      </c>
      <c r="M20" s="22" t="str">
        <f>IF(F20="AOI-1","AOI-2",IF(F20="AOI-2","AOI-1",""))</f>
        <v>AOI-1</v>
      </c>
      <c r="N20" s="26">
        <v>1222</v>
      </c>
      <c r="O20" s="22" t="s">
        <v>183</v>
      </c>
      <c r="P20" s="28" t="str">
        <f>IF(OR(L20="",COUNT(G20:J20)&lt;4),"",IF(F20="AOI-1",L20*AVERAGE(H20,I20)/AVERAGE(G20,J20),L20*AVERAGE(G20,J20)/AVERAGE(H20,I20)))</f>
        <v/>
      </c>
      <c r="Q20" s="24" t="str">
        <f>IF(COUNT(G20:J20)&lt;4,"",(AVERAGE(H20,I20)-AVERAGE(G20,J20))/AVERAGE(G20,J20))</f>
        <v/>
      </c>
      <c r="R20" s="25" t="str">
        <f>IF(OR(K20="",COUNT(G20:J20)&lt;4),"",IF(F20="AOI-1",(AVERAGE(H20,I20)-K20)/AVERAGE(H20,I20),(AVERAGE(G20,J20)-K20)/AVERAGE(G20,J20)))</f>
        <v/>
      </c>
      <c r="S20" s="24" t="str">
        <f>IF(OR(K20="",P20=""),"",(K20-P20)/K20)</f>
        <v/>
      </c>
      <c r="T20" s="24" t="e">
        <f>IF(OR(P20="",#REF!=""),"",(P20-#REF!)/P20)</f>
        <v>#REF!</v>
      </c>
    </row>
    <row r="21" spans="2:20" ht="20.100000000000001" customHeight="1">
      <c r="B21" s="37" t="s">
        <v>60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</row>
    <row r="22" spans="2:20">
      <c r="B22" s="35" t="s">
        <v>61</v>
      </c>
      <c r="C22" s="32"/>
      <c r="D22" s="32"/>
      <c r="E22" s="32"/>
      <c r="F22" s="32"/>
      <c r="G22" s="32"/>
      <c r="H22" s="36" t="str">
        <f>IFERROR(AVERAGE(Q4:Q20),"待量測")</f>
        <v>待量測</v>
      </c>
      <c r="I22" s="34"/>
      <c r="J22" s="34"/>
    </row>
    <row r="23" spans="2:20">
      <c r="B23" s="35" t="s">
        <v>62</v>
      </c>
      <c r="C23" s="32"/>
      <c r="D23" s="32"/>
      <c r="E23" s="32"/>
      <c r="F23" s="32"/>
      <c r="G23" s="32"/>
      <c r="H23" s="33" t="str">
        <f>IFERROR(AVERAGEIFS(R4:R20,F4:F20,"AOI-1"),"待量測")</f>
        <v>待量測</v>
      </c>
      <c r="I23" s="34"/>
      <c r="J23" s="34"/>
    </row>
    <row r="24" spans="2:20">
      <c r="B24" s="35" t="s">
        <v>63</v>
      </c>
      <c r="C24" s="32"/>
      <c r="D24" s="32"/>
      <c r="E24" s="32"/>
      <c r="F24" s="32"/>
      <c r="G24" s="32"/>
      <c r="H24" s="33" t="str">
        <f>IFERROR(AVERAGEIFS(R4:R20,F4:F20,"AOI-2"),"待量測")</f>
        <v>待量測</v>
      </c>
      <c r="I24" s="34"/>
      <c r="J24" s="34"/>
    </row>
    <row r="25" spans="2:20">
      <c r="B25" s="35" t="s">
        <v>64</v>
      </c>
      <c r="C25" s="32"/>
      <c r="D25" s="32"/>
      <c r="E25" s="32"/>
      <c r="F25" s="32"/>
      <c r="G25" s="32"/>
      <c r="H25" s="36" t="str">
        <f>IFERROR(AVERAGEIFS(S4:S20,F4:F20,"AOI-1"),"待量測")</f>
        <v>待量測</v>
      </c>
      <c r="I25" s="34"/>
      <c r="J25" s="34"/>
    </row>
    <row r="26" spans="2:20">
      <c r="B26" s="35" t="s">
        <v>65</v>
      </c>
      <c r="C26" s="32"/>
      <c r="D26" s="32"/>
      <c r="E26" s="32"/>
      <c r="F26" s="32"/>
      <c r="G26" s="32"/>
      <c r="H26" s="36" t="str">
        <f>IFERROR(AVERAGEIFS(S4:S20,F4:F20,"AOI-2"),"待量測")</f>
        <v>待量測</v>
      </c>
      <c r="I26" s="34"/>
      <c r="J26" s="34"/>
    </row>
    <row r="27" spans="2:20">
      <c r="B27" s="35" t="s">
        <v>104</v>
      </c>
      <c r="C27" s="32"/>
      <c r="D27" s="32"/>
      <c r="E27" s="32"/>
      <c r="F27" s="32"/>
      <c r="G27" s="32"/>
      <c r="H27" s="36" t="str">
        <f>IFERROR(AVERAGEIFS(T4:T20,F4:F20,"AOI-1"),"待量測")</f>
        <v>待量測</v>
      </c>
      <c r="I27" s="34"/>
      <c r="J27" s="34"/>
    </row>
    <row r="28" spans="2:20">
      <c r="B28" s="35" t="s">
        <v>105</v>
      </c>
      <c r="C28" s="32"/>
      <c r="D28" s="32"/>
      <c r="E28" s="32"/>
      <c r="F28" s="32"/>
      <c r="G28" s="32"/>
      <c r="H28" s="36" t="str">
        <f>IFERROR(AVERAGEIFS(T4:T20,F4:F20,"AOI-2"),"待量測")</f>
        <v>待量測</v>
      </c>
      <c r="I28" s="34"/>
      <c r="J28" s="34"/>
    </row>
    <row r="29" spans="2:20" ht="30" customHeight="1">
      <c r="B29" s="31" t="s">
        <v>106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</row>
  </sheetData>
  <mergeCells count="18">
    <mergeCell ref="A1:T1"/>
    <mergeCell ref="A2:R2"/>
    <mergeCell ref="B24:G24"/>
    <mergeCell ref="B22:G22"/>
    <mergeCell ref="B23:G23"/>
    <mergeCell ref="H22:J22"/>
    <mergeCell ref="B21:T21"/>
    <mergeCell ref="B29:R29"/>
    <mergeCell ref="H24:J24"/>
    <mergeCell ref="H23:J23"/>
    <mergeCell ref="B26:G26"/>
    <mergeCell ref="H26:J26"/>
    <mergeCell ref="B25:G25"/>
    <mergeCell ref="H25:J25"/>
    <mergeCell ref="B27:G27"/>
    <mergeCell ref="H27:J27"/>
    <mergeCell ref="B28:G28"/>
    <mergeCell ref="H28:J28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>
      <selection activeCell="H5" sqref="H5"/>
    </sheetView>
  </sheetViews>
  <sheetFormatPr defaultRowHeight="15.75"/>
  <cols>
    <col min="1" max="1" width="2.5703125" customWidth="1"/>
    <col min="2" max="2" width="6" customWidth="1"/>
    <col min="3" max="3" width="36" customWidth="1"/>
    <col min="4" max="5" width="16" customWidth="1"/>
    <col min="6" max="6" width="14" customWidth="1"/>
  </cols>
  <sheetData>
    <row r="1" spans="1:6" ht="26.1" customHeight="1">
      <c r="A1" s="39" t="s">
        <v>66</v>
      </c>
      <c r="B1" s="32"/>
      <c r="C1" s="32"/>
      <c r="D1" s="32"/>
      <c r="E1" s="32"/>
      <c r="F1" s="32"/>
    </row>
    <row r="2" spans="1:6">
      <c r="B2" s="1" t="s">
        <v>30</v>
      </c>
      <c r="C2" s="1" t="s">
        <v>31</v>
      </c>
      <c r="D2" s="1" t="s">
        <v>67</v>
      </c>
      <c r="E2" s="1" t="s">
        <v>33</v>
      </c>
      <c r="F2" s="1" t="s">
        <v>68</v>
      </c>
    </row>
    <row r="3" spans="1:6">
      <c r="B3" s="2" t="s">
        <v>35</v>
      </c>
      <c r="C3" s="3" t="s">
        <v>69</v>
      </c>
      <c r="D3" s="9" t="str">
        <f>C_清潔力紀錄!H22</f>
        <v>待量測</v>
      </c>
      <c r="E3" s="5" t="s">
        <v>34</v>
      </c>
      <c r="F3" s="8" t="str">
        <f>IF(ISNUMBER(D3),IF(ABS(D3)&lt;=0.05,"合格","不合格"),"待量測")</f>
        <v>待量測</v>
      </c>
    </row>
    <row r="4" spans="1:6">
      <c r="B4" s="2" t="s">
        <v>42</v>
      </c>
      <c r="C4" s="3" t="s">
        <v>70</v>
      </c>
      <c r="D4" s="9" t="str">
        <f>C_清潔力紀錄!H25</f>
        <v>待量測</v>
      </c>
      <c r="E4" s="5" t="s">
        <v>71</v>
      </c>
      <c r="F4" s="8" t="str">
        <f>IF(ISNUMBER(D4),IF(ABS(D4)&lt;=0.05,"合格","不合格"),"待量測")</f>
        <v>待量測</v>
      </c>
    </row>
    <row r="5" spans="1:6">
      <c r="B5" s="2" t="s">
        <v>42</v>
      </c>
      <c r="C5" s="3" t="s">
        <v>72</v>
      </c>
      <c r="D5" s="9" t="str">
        <f>C_清潔力紀錄!H26</f>
        <v>待量測</v>
      </c>
      <c r="E5" s="5" t="s">
        <v>71</v>
      </c>
      <c r="F5" s="8" t="str">
        <f>IF(ISNUMBER(D5),IF(ABS(D5)&lt;=0.05,"合格","不合格"),"待量測")</f>
        <v>待量測</v>
      </c>
    </row>
    <row r="6" spans="1:6">
      <c r="B6" s="2" t="s">
        <v>38</v>
      </c>
      <c r="C6" s="3" t="s">
        <v>73</v>
      </c>
      <c r="D6" s="9" t="str">
        <f>IF(AND(ISNUMBER(C_清潔力紀錄!H23),ISNUMBER(C_清潔力紀錄!H24)),C_清潔力紀錄!H23-C_清潔力紀錄!H24,"待量測")</f>
        <v>待量測</v>
      </c>
      <c r="E6" s="5" t="s">
        <v>74</v>
      </c>
      <c r="F6" s="8" t="str">
        <f>IF(ISNUMBER(D6),IF(ABS(D6)&lt;=0.05,"合格","不合格"),"待量測")</f>
        <v>待量測</v>
      </c>
    </row>
    <row r="8" spans="1:6" ht="30" customHeight="1">
      <c r="B8" s="45" t="str">
        <f>IF(COUNTIF(F3:F6,"不合格")&gt;0,"◤ 綜合：有項目不合格，請廠商再調整後重測",IF(COUNTIF(F3:F6,"待量測")&gt;0,"◤ 綜合：尚有項目待量測","◤ 綜合：全部合格，建議第22項改判合格"))</f>
        <v>◤ 綜合：尚有項目待量測</v>
      </c>
      <c r="C8" s="32"/>
      <c r="D8" s="32"/>
      <c r="E8" s="32"/>
      <c r="F8" s="32"/>
    </row>
  </sheetData>
  <mergeCells count="2">
    <mergeCell ref="A1:F1"/>
    <mergeCell ref="B8:F8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A_實驗計畫</vt:lpstr>
      <vt:lpstr>B_選片</vt:lpstr>
      <vt:lpstr>C_清潔力紀錄</vt:lpstr>
      <vt:lpstr>D_判定總表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友益 鏵</cp:lastModifiedBy>
  <dcterms:created xsi:type="dcterms:W3CDTF">2026-10-05T00:44:12Z</dcterms:created>
  <dcterms:modified xsi:type="dcterms:W3CDTF">2026-10-08T06:16:48Z</dcterms:modified>
</cp:coreProperties>
</file>